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7e38cabc2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證據索引" sheetId="1" r:id="Rbad1255fb74d4aaf"/>
    <x:sheet xmlns:r="http://schemas.openxmlformats.org/officeDocument/2006/relationships" name="01_管理Dashboard" sheetId="2" r:id="Ra89a293d192e4f49"/>
    <x:sheet xmlns:r="http://schemas.openxmlformats.org/officeDocument/2006/relationships" name="02_WBS甘特" sheetId="3" r:id="Rf4ca4c8794df4b02"/>
    <x:sheet xmlns:r="http://schemas.openxmlformats.org/officeDocument/2006/relationships" name="03_MilestonePlan" sheetId="4" r:id="Ra934f5ac01a94fd0"/>
    <x:sheet xmlns:r="http://schemas.openxmlformats.org/officeDocument/2006/relationships" name="04_Risk_Issue_Action" sheetId="5" r:id="R39d3fe2a70974295"/>
    <x:sheet xmlns:r="http://schemas.openxmlformats.org/officeDocument/2006/relationships" name="05_RFQ供應商評選" sheetId="6" r:id="R7dbbf65c031546ca"/>
    <x:sheet xmlns:r="http://schemas.openxmlformats.org/officeDocument/2006/relationships" name="06_成本與議價" sheetId="7" r:id="R0bb611fe361f488a"/>
    <x:sheet xmlns:r="http://schemas.openxmlformats.org/officeDocument/2006/relationships" name="07_供應商績效" sheetId="8" r:id="Rb4e9db7a594647e1"/>
    <x:sheet xmlns:r="http://schemas.openxmlformats.org/officeDocument/2006/relationships" name="08_ProcurementTracker" sheetId="9" r:id="Rab31cc2df1964c81"/>
    <x:sheet xmlns:r="http://schemas.openxmlformats.org/officeDocument/2006/relationships" name="09_合約付款節點" sheetId="10" r:id="R2731ac9604ac4673"/>
    <x:sheet xmlns:r="http://schemas.openxmlformats.org/officeDocument/2006/relationships" name="10_驗收估驗請款" sheetId="11" r:id="R0f9e9bcc5d5c47de"/>
    <x:sheet xmlns:r="http://schemas.openxmlformats.org/officeDocument/2006/relationships" name="11_資料與工具邏輯" sheetId="12" r:id="R22b426c032234e2a"/>
  </x:sheets>
</x:workbook>
</file>

<file path=xl/comments1.xml><?xml version="1.0" encoding="utf-8"?>
<x:comments xmlns:x="http://schemas.openxmlformats.org/spreadsheetml/2006/main">
  <x:authors>
    <x:author>tc={E783024F-B859-427A-90B1-FC5690722920}</x:author>
  </x:authors>
  <x:commentList>
    <x:comment ref="B1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已確認：單一專案成本改善逾 NT$4M；原始前後報價與金額未提供，因此未在工作簿中推測。 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"/>
    <x:numFmt numFmtId="201" formatCode="yyyy-mm-dd"/>
    <x:numFmt numFmtId="202" formatCode="0 &quot;days&quot;"/>
    <x:numFmt numFmtId="203" formatCode="0%"/>
    <x:numFmt numFmtId="204" formatCode="#,##0"/>
    <x:numFmt numFmtId="205" formatCode="0.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212B"/>
      <x:name val="Carlito"/>
    </x:font>
    <x:font>
      <x:b/>
      <x:sz val="10"/>
      <x:color rgb="FFFFFFFF"/>
      <x:name val="Carlito"/>
    </x:font>
    <x:font>
      <x:sz val="9"/>
      <x:color rgb="FF18212B"/>
      <x:name val="Carlito"/>
    </x:font>
    <x:font>
      <x:b/>
      <x:sz val="9"/>
      <x:color rgb="FF1B7F5A"/>
      <x:name val="Carlito"/>
    </x:font>
    <x:font>
      <x:sz val="9"/>
      <x:color rgb="FFB66A00"/>
      <x:name val="Carlito"/>
    </x:font>
    <x:font>
      <x:b/>
      <x:sz val="9"/>
      <x:color rgb="FF11243A"/>
      <x:name val="Carlito"/>
    </x:font>
    <x:font>
      <x:b/>
      <x:sz val="11"/>
      <x:color rgb="FF11243A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1243A"/>
      </x:patternFill>
    </x:fill>
    <x:fill>
      <x:patternFill patternType="solid">
        <x:fgColor rgb="FFDCEAF1"/>
      </x:patternFill>
    </x:fill>
    <x:fill>
      <x:patternFill patternType="solid">
        <x:fgColor rgb="FF0B6E99"/>
      </x:patternFill>
    </x:fill>
    <x:fill>
      <x:patternFill patternType="solid">
        <x:fgColor rgb="FFE9F6F0"/>
      </x:patternFill>
    </x:fill>
    <x:fill>
      <x:patternFill patternType="solid">
        <x:fgColor rgb="FFFFFBEA"/>
      </x:patternFill>
    </x:fill>
    <x:fill>
      <x:patternFill patternType="solid">
        <x:fgColor rgb="FFEAF4F8"/>
      </x:patternFill>
    </x:fill>
    <x:fill>
      <x:patternFill patternType="solid">
        <x:fgColor rgb="FFFFF4DE"/>
      </x:patternFill>
    </x:fill>
    <x:fill>
      <x:patternFill patternType="solid">
        <x:fgColor rgb="FF20A4B8"/>
      </x:patternFill>
    </x:fill>
    <x:fill>
      <x:patternFill patternType="solid">
        <x:fgColor rgb="FFF3F6F8"/>
      </x:patternFill>
    </x:fill>
  </x:fills>
  <x:borders count="24">
    <x:border/>
    <x:border>
      <x:right style="thin">
        <x:color rgb="FF8DB8CA"/>
      </x:right>
    </x:border>
    <x:border>
      <x:left style="thin">
        <x:color rgb="FF8DB8CA"/>
      </x:left>
      <x:right style="thin">
        <x:color rgb="FF8DB8CA"/>
      </x:right>
    </x:border>
    <x:border>
      <x:left style="thin">
        <x:color rgb="FF8DB8CA"/>
      </x:left>
    </x:border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right style="thin">
        <x:color rgb="FFD8E0E8"/>
      </x:right>
      <x:top style="thin">
        <x:color rgb="FFD8E0E8"/>
      </x:top>
    </x:border>
    <x:border>
      <x:left style="thin">
        <x:color rgb="FFD8E0E8"/>
      </x:left>
      <x:top style="thin">
        <x:color rgb="FFD8E0E8"/>
      </x:top>
    </x:border>
    <x:border>
      <x:left style="thin">
        <x:color rgb="FFE7C98F"/>
      </x:left>
      <x:top style="thin">
        <x:color rgb="FFE7C98F"/>
      </x:top>
    </x:border>
    <x:border>
      <x:top style="thin">
        <x:color rgb="FFE7C98F"/>
      </x:top>
    </x:border>
    <x:border>
      <x:right style="thin">
        <x:color rgb="FFE7C98F"/>
      </x:right>
      <x:top style="thin">
        <x:color rgb="FFE7C98F"/>
      </x:top>
    </x:border>
    <x:border>
      <x:left style="thin">
        <x:color rgb="FFE7C98F"/>
      </x:left>
      <x:bottom style="thin">
        <x:color rgb="FFE7C98F"/>
      </x:bottom>
    </x:border>
    <x:border>
      <x:bottom style="thin">
        <x:color rgb="FFE7C98F"/>
      </x:bottom>
    </x:border>
    <x:border>
      <x:right style="thin">
        <x:color rgb="FFE7C98F"/>
      </x:right>
      <x:bottom style="thin">
        <x:color rgb="FFE7C98F"/>
      </x:bottom>
    </x:border>
    <x:border>
      <x:left style="medium">
        <x:color rgb="FF0B6E99"/>
      </x:left>
      <x:top style="medium">
        <x:color rgb="FF0B6E99"/>
      </x:top>
      <x:bottom style="medium">
        <x:color rgb="FF0B6E99"/>
      </x:bottom>
    </x:border>
    <x:border>
      <x:top style="medium">
        <x:color rgb="FF0B6E99"/>
      </x:top>
      <x:bottom style="medium">
        <x:color rgb="FF0B6E99"/>
      </x:bottom>
    </x:border>
    <x:border>
      <x:right style="medium">
        <x:color rgb="FF0B6E99"/>
      </x:right>
      <x:top style="medium">
        <x:color rgb="FF0B6E99"/>
      </x:top>
      <x:bottom style="medium">
        <x:color rgb="FF0B6E99"/>
      </x:bottom>
    </x:border>
    <x:border>
      <x:left style="thin">
        <x:color rgb="FFE7C98F"/>
      </x:left>
    </x:border>
    <x:border>
      <x:right style="thin">
        <x:color rgb="FFE7C98F"/>
      </x:right>
    </x:border>
  </x:borders>
  <x:cellStyleXfs count="1">
    <x:xf numFmtId="0" fontId="0" fillId="0" borderId="0"/>
  </x:cellStyleXfs>
  <x:cellXfs count="1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200" fontId="4" fillId="0" borderId="11" xfId="0" applyNumberFormat="1" applyFont="1" applyFill="1" applyBorder="1" applyAlignment="1">
      <x:alignment vertical="center" wrapText="1"/>
    </x:xf>
    <x:xf numFmtId="200" fontId="4" fillId="0" borderId="1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3" xfId="0" applyNumberFormat="1" applyFont="1" applyFill="1" applyBorder="1"/>
    <x:xf numFmtId="0" fontId="6" fillId="8" borderId="14" xfId="0" applyNumberFormat="1" applyFont="1" applyFill="1" applyBorder="1"/>
    <x:xf numFmtId="0" fontId="6" fillId="8" borderId="15" xfId="0" applyNumberFormat="1" applyFont="1" applyFill="1" applyBorder="1"/>
    <x:xf numFmtId="0" fontId="6" fillId="8" borderId="16" xfId="0" applyNumberFormat="1" applyFont="1" applyFill="1" applyBorder="1"/>
    <x:xf numFmtId="0" fontId="6" fillId="8" borderId="17" xfId="0" applyNumberFormat="1" applyFont="1" applyFill="1" applyBorder="1"/>
    <x:xf numFmtId="0" fontId="6" fillId="8" borderId="18" xfId="0" applyNumberFormat="1" applyFont="1" applyFill="1" applyBorder="1"/>
    <x:xf numFmtId="0" fontId="6" fillId="8" borderId="13" xfId="0" applyNumberFormat="1" applyFont="1" applyFill="1" applyBorder="1" applyAlignment="1">
      <x:alignment wrapText="1"/>
    </x:xf>
    <x:xf numFmtId="0" fontId="6" fillId="8" borderId="14" xfId="0" applyNumberFormat="1" applyFont="1" applyFill="1" applyBorder="1" applyAlignment="1">
      <x:alignment wrapText="1"/>
    </x:xf>
    <x:xf numFmtId="0" fontId="6" fillId="8" borderId="15" xfId="0" applyNumberFormat="1" applyFont="1" applyFill="1" applyBorder="1" applyAlignment="1">
      <x:alignment wrapText="1"/>
    </x:xf>
    <x:xf numFmtId="0" fontId="6" fillId="8" borderId="16" xfId="0" applyNumberFormat="1" applyFont="1" applyFill="1" applyBorder="1" applyAlignment="1">
      <x:alignment wrapText="1"/>
    </x:xf>
    <x:xf numFmtId="0" fontId="6" fillId="8" borderId="17" xfId="0" applyNumberFormat="1" applyFont="1" applyFill="1" applyBorder="1" applyAlignment="1">
      <x:alignment wrapText="1"/>
    </x:xf>
    <x:xf numFmtId="0" fontId="6" fillId="8" borderId="18" xfId="0" applyNumberFormat="1" applyFont="1" applyFill="1" applyBorder="1" applyAlignment="1">
      <x:alignment wrapText="1"/>
    </x:xf>
    <x:xf numFmtId="0" fontId="6" fillId="8" borderId="13" xfId="0" applyNumberFormat="1" applyFont="1" applyFill="1" applyBorder="1" applyAlignment="1">
      <x:alignment vertical="center" wrapText="1"/>
    </x:xf>
    <x:xf numFmtId="0" fontId="6" fillId="8" borderId="14" xfId="0" applyNumberFormat="1" applyFont="1" applyFill="1" applyBorder="1" applyAlignment="1">
      <x:alignment vertical="center" wrapText="1"/>
    </x:xf>
    <x:xf numFmtId="0" fontId="6" fillId="8" borderId="15" xfId="0" applyNumberFormat="1" applyFont="1" applyFill="1" applyBorder="1" applyAlignment="1">
      <x:alignment vertical="center" wrapText="1"/>
    </x:xf>
    <x:xf numFmtId="0" fontId="6" fillId="8" borderId="16" xfId="0" applyNumberFormat="1" applyFont="1" applyFill="1" applyBorder="1" applyAlignment="1">
      <x:alignment vertical="center" wrapText="1"/>
    </x:xf>
    <x:xf numFmtId="0" fontId="6" fillId="8" borderId="17" xfId="0" applyNumberFormat="1" applyFont="1" applyFill="1" applyBorder="1" applyAlignment="1">
      <x:alignment vertical="center" wrapText="1"/>
    </x:xf>
    <x:xf numFmtId="0" fontId="6" fillId="8" borderId="18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1" fontId="4" fillId="0" borderId="1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202" fontId="4" fillId="0" borderId="11" xfId="0" applyNumberFormat="1" applyFont="1" applyFill="1" applyBorder="1" applyAlignment="1">
      <x:alignment vertical="center" wrapText="1"/>
    </x:xf>
    <x:xf numFmtId="203" fontId="4" fillId="0" borderId="5" xfId="0" applyNumberFormat="1" applyFont="1" applyFill="1" applyBorder="1" applyAlignment="1">
      <x:alignment vertical="center" wrapText="1"/>
    </x:xf>
    <x:xf numFmtId="203" fontId="4" fillId="0" borderId="8" xfId="0" applyNumberFormat="1" applyFont="1" applyFill="1" applyBorder="1" applyAlignment="1">
      <x:alignment vertical="center" wrapText="1"/>
    </x:xf>
    <x:xf numFmtId="203" fontId="4" fillId="0" borderId="1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19" xfId="0" applyNumberFormat="1" applyFont="1" applyFill="1" applyBorder="1"/>
    <x:xf numFmtId="0" fontId="8" fillId="10" borderId="20" xfId="0" applyNumberFormat="1" applyFont="1" applyFill="1" applyBorder="1"/>
    <x:xf numFmtId="0" fontId="8" fillId="10" borderId="21" xfId="0" applyNumberFormat="1" applyFont="1" applyFill="1" applyBorder="1"/>
    <x:xf numFmtId="204" fontId="4" fillId="6" borderId="5" xfId="0" applyNumberFormat="1" applyFont="1" applyFill="1" applyBorder="1" applyAlignment="1">
      <x:alignment vertical="center" wrapText="1"/>
    </x:xf>
    <x:xf numFmtId="204" fontId="4" fillId="6" borderId="8" xfId="0" applyNumberFormat="1" applyFont="1" applyFill="1" applyBorder="1" applyAlignment="1">
      <x:alignment vertical="center" wrapText="1"/>
    </x:xf>
    <x:xf numFmtId="204" fontId="4" fillId="6" borderId="11" xfId="0" applyNumberFormat="1" applyFont="1" applyFill="1" applyBorder="1" applyAlignment="1">
      <x:alignment vertical="center" wrapText="1"/>
    </x:xf>
    <x:xf numFmtId="204" fontId="4" fillId="0" borderId="5" xfId="0" applyNumberFormat="1" applyFont="1" applyFill="1" applyBorder="1" applyAlignment="1">
      <x:alignment vertical="center" wrapText="1"/>
    </x:xf>
    <x:xf numFmtId="204" fontId="4" fillId="0" borderId="8" xfId="0" applyNumberFormat="1" applyFont="1" applyFill="1" applyBorder="1" applyAlignment="1">
      <x:alignment vertical="center" wrapText="1"/>
    </x:xf>
    <x:xf numFmtId="204" fontId="4" fillId="0" borderId="11" xfId="0" applyNumberFormat="1" applyFont="1" applyFill="1" applyBorder="1" applyAlignment="1">
      <x:alignment vertical="center" wrapText="1"/>
    </x:xf>
    <x:xf numFmtId="205" fontId="4" fillId="0" borderId="5" xfId="0" applyNumberFormat="1" applyFont="1" applyFill="1" applyBorder="1" applyAlignment="1">
      <x:alignment vertical="center" wrapText="1"/>
    </x:xf>
    <x:xf numFmtId="205" fontId="4" fillId="0" borderId="8" xfId="0" applyNumberFormat="1" applyFont="1" applyFill="1" applyBorder="1" applyAlignment="1">
      <x:alignment vertical="center" wrapText="1"/>
    </x:xf>
    <x:xf numFmtId="205" fontId="4" fillId="0" borderId="11" xfId="0" applyNumberFormat="1" applyFont="1" applyFill="1" applyBorder="1" applyAlignment="1">
      <x:alignment vertical="center" wrapText="1"/>
    </x:xf>
    <x:xf numFmtId="0" fontId="6" fillId="8" borderId="22" xfId="0" applyNumberFormat="1" applyFont="1" applyFill="1" applyBorder="1"/>
    <x:xf numFmtId="0" fontId="6" fillId="8" borderId="23" xfId="0" applyNumberFormat="1" applyFont="1" applyFill="1" applyBorder="1"/>
    <x:xf numFmtId="0" fontId="6" fillId="8" borderId="22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6" fillId="8" borderId="23" xfId="0" applyNumberFormat="1" applyFont="1" applyFill="1" applyBorder="1" applyAlignment="1">
      <x:alignment wrapText="1"/>
    </x:xf>
    <x:xf numFmtId="0" fontId="6" fillId="8" borderId="22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8" borderId="23" xfId="0" applyNumberFormat="1" applyFont="1" applyFill="1" applyBorder="1" applyAlignment="1">
      <x:alignment vertical="center" wrapText="1"/>
    </x:xf>
    <x:xf numFmtId="201" fontId="4" fillId="6" borderId="8" xfId="0" applyNumberFormat="1" applyFont="1" applyFill="1" applyBorder="1" applyAlignment="1">
      <x:alignment vertical="center" wrapText="1"/>
    </x:xf>
    <x:xf numFmtId="201" fontId="4" fillId="6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0">
    <x:dxf>
      <x:font>
        <x:b/>
        <x:color rgb="FF1B7F5A"/>
      </x:font>
      <x:fill>
        <x:patternFill patternType="solid">
          <x:bgColor rgb="FFE9F6F0"/>
        </x:patternFill>
      </x:fill>
    </x:dxf>
    <x:dxf>
      <x:font>
        <x:b/>
        <x:color rgb="FF0B6E99"/>
      </x:font>
      <x:fill>
        <x:patternFill patternType="solid">
          <x:bgColor rgb="FFEAF4F8"/>
        </x:patternFill>
      </x:fill>
    </x:dxf>
    <x:dxf>
      <x:font>
        <x:b/>
        <x:color rgb="FFB66A00"/>
      </x:font>
      <x:fill>
        <x:patternFill patternType="solid">
          <x:bgColor rgb="FFFFF4DE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B7F5A"/>
      </x:font>
      <x:fill>
        <x:patternFill patternType="solid">
          <x:bgColor rgb="FFE9F6F0"/>
        </x:patternFill>
      </x:fill>
    </x:dxf>
    <x:dxf>
      <x:font>
        <x:b/>
        <x:color rgb="FF0B6E99"/>
      </x:font>
      <x:fill>
        <x:patternFill patternType="solid">
          <x:bgColor rgb="FFEAF4F8"/>
        </x:patternFill>
      </x:fill>
    </x:dxf>
    <x:dxf>
      <x:font>
        <x:b/>
        <x:color rgb="FFB66A00"/>
      </x:font>
      <x:fill>
        <x:patternFill patternType="solid">
          <x:bgColor rgb="FFFFF4DE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B7F5A"/>
      </x:font>
      <x:fill>
        <x:patternFill patternType="solid">
          <x:bgColor rgb="FFE9F6F0"/>
        </x:patternFill>
      </x:fill>
    </x:dxf>
    <x:dxf>
      <x:font>
        <x:b/>
        <x:color rgb="FF0B6E99"/>
      </x:font>
      <x:fill>
        <x:patternFill patternType="solid">
          <x:bgColor rgb="FFEAF4F8"/>
        </x:patternFill>
      </x:fill>
    </x:dxf>
    <x:dxf>
      <x:font>
        <x:b/>
        <x:color rgb="FFB66A00"/>
      </x:font>
      <x:fill>
        <x:patternFill patternType="solid">
          <x:bgColor rgb="FFFFF4DE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B7F5A"/>
      </x:font>
      <x:fill>
        <x:patternFill patternType="solid">
          <x:bgColor rgb="FFE9F6F0"/>
        </x:patternFill>
      </x:fill>
    </x:dxf>
    <x:dxf>
      <x:font>
        <x:b/>
        <x:color rgb="FF0B6E99"/>
      </x:font>
      <x:fill>
        <x:patternFill patternType="solid">
          <x:bgColor rgb="FFEAF4F8"/>
        </x:patternFill>
      </x:fill>
    </x:dxf>
    <x:dxf>
      <x:font>
        <x:b/>
        <x:color rgb="FFB66A00"/>
      </x:font>
      <x:fill>
        <x:patternFill patternType="solid">
          <x:bgColor rgb="FFFFF4DE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B7F5A"/>
      </x:font>
      <x:fill>
        <x:patternFill patternType="solid">
          <x:bgColor rgb="FFE9F6F0"/>
        </x:patternFill>
      </x:fill>
    </x:dxf>
    <x:dxf>
      <x:font>
        <x:b/>
        <x:color rgb="FF0B6E99"/>
      </x:font>
      <x:fill>
        <x:patternFill patternType="solid">
          <x:bgColor rgb="FFEAF4F8"/>
        </x:patternFill>
      </x:fill>
    </x:dxf>
    <x:dxf>
      <x:font>
        <x:b/>
        <x:color rgb="FFB66A00"/>
      </x:font>
      <x:fill>
        <x:patternFill patternType="solid">
          <x:bgColor rgb="FFFFF4DE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B7F5A"/>
      </x:font>
      <x:fill>
        <x:patternFill patternType="solid">
          <x:bgColor rgb="FFE9F6F0"/>
        </x:patternFill>
      </x:fill>
    </x:dxf>
    <x:dxf>
      <x:font>
        <x:b/>
        <x:color rgb="FF0B6E99"/>
      </x:font>
      <x:fill>
        <x:patternFill patternType="solid">
          <x:bgColor rgb="FFEAF4F8"/>
        </x:patternFill>
      </x:fill>
    </x:dxf>
    <x:dxf>
      <x:font>
        <x:b/>
        <x:color rgb="FFB66A00"/>
      </x:font>
      <x:fill>
        <x:patternFill patternType="solid">
          <x:bgColor rgb="FFFFF4DE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B7F5A"/>
      </x:font>
      <x:fill>
        <x:patternFill patternType="solid">
          <x:bgColor rgb="FFE9F6F0"/>
        </x:patternFill>
      </x:fill>
    </x:dxf>
    <x:dxf>
      <x:font>
        <x:b/>
        <x:color rgb="FF0B6E99"/>
      </x:font>
      <x:fill>
        <x:patternFill patternType="solid">
          <x:bgColor rgb="FFEAF4F8"/>
        </x:patternFill>
      </x:fill>
    </x:dxf>
    <x:dxf>
      <x:font>
        <x:b/>
        <x:color rgb="FFB66A00"/>
      </x:font>
      <x:fill>
        <x:patternFill patternType="solid">
          <x:bgColor rgb="FFFFF4DE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B7F5A"/>
      </x:font>
      <x:fill>
        <x:patternFill patternType="solid">
          <x:bgColor rgb="FFE9F6F0"/>
        </x:patternFill>
      </x:fill>
    </x:dxf>
    <x:dxf>
      <x:font>
        <x:b/>
        <x:color rgb="FF0B6E99"/>
      </x:font>
      <x:fill>
        <x:patternFill patternType="solid">
          <x:bgColor rgb="FFEAF4F8"/>
        </x:patternFill>
      </x:fill>
    </x:dxf>
    <x:dxf>
      <x:font>
        <x:b/>
        <x:color rgb="FFB66A00"/>
      </x:font>
      <x:fill>
        <x:patternFill patternType="solid">
          <x:bgColor rgb="FFFFF4DE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B7F5A"/>
      </x:font>
      <x:fill>
        <x:patternFill patternType="solid">
          <x:bgColor rgb="FFE9F6F0"/>
        </x:patternFill>
      </x:fill>
    </x:dxf>
    <x:dxf>
      <x:font>
        <x:b/>
        <x:color rgb="FF0B6E99"/>
      </x:font>
      <x:fill>
        <x:patternFill patternType="solid">
          <x:bgColor rgb="FFEAF4F8"/>
        </x:patternFill>
      </x:fill>
    </x:dxf>
    <x:dxf>
      <x:font>
        <x:b/>
        <x:color rgb="FFB66A00"/>
      </x:font>
      <x:fill>
        <x:patternFill patternType="solid">
          <x:bgColor rgb="FFFFF4DE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B7F5A"/>
      </x:font>
      <x:fill>
        <x:patternFill patternType="solid">
          <x:bgColor rgb="FFE9F6F0"/>
        </x:patternFill>
      </x:fill>
    </x:dxf>
    <x:dxf>
      <x:font>
        <x:b/>
        <x:color rgb="FF0B6E99"/>
      </x:font>
      <x:fill>
        <x:patternFill patternType="solid">
          <x:bgColor rgb="FFEAF4F8"/>
        </x:patternFill>
      </x:fill>
    </x:dxf>
    <x:dxf>
      <x:font>
        <x:b/>
        <x:color rgb="FFB66A00"/>
      </x:font>
      <x:fill>
        <x:patternFill patternType="solid">
          <x:bgColor rgb="FFFFF4DE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0c2b3266d46c6" /><Relationship Type="http://schemas.openxmlformats.org/officeDocument/2006/relationships/theme" Target="/xl/theme/theme1.xml" Id="R0288351d0ea84f4e" /><Relationship Type="http://schemas.openxmlformats.org/officeDocument/2006/relationships/sharedStrings" Target="/xl/sharedStrings.xml" Id="R473ad6631d784fa4" /><Relationship Type="http://schemas.openxmlformats.org/officeDocument/2006/relationships/worksheet" Target="/xl/worksheets/sheet1.xml" Id="Rbad1255fb74d4aaf" /><Relationship Type="http://schemas.openxmlformats.org/officeDocument/2006/relationships/worksheet" Target="/xl/worksheets/sheet2.xml" Id="Ra89a293d192e4f49" /><Relationship Type="http://schemas.openxmlformats.org/officeDocument/2006/relationships/worksheet" Target="/xl/worksheets/sheet3.xml" Id="Rf4ca4c8794df4b02" /><Relationship Type="http://schemas.openxmlformats.org/officeDocument/2006/relationships/worksheet" Target="/xl/worksheets/sheet4.xml" Id="Ra934f5ac01a94fd0" /><Relationship Type="http://schemas.openxmlformats.org/officeDocument/2006/relationships/worksheet" Target="/xl/worksheets/sheet5.xml" Id="R39d3fe2a70974295" /><Relationship Type="http://schemas.openxmlformats.org/officeDocument/2006/relationships/worksheet" Target="/xl/worksheets/sheet6.xml" Id="R7dbbf65c031546ca" /><Relationship Type="http://schemas.openxmlformats.org/officeDocument/2006/relationships/worksheet" Target="/xl/worksheets/sheet7.xml" Id="R0bb611fe361f488a" /><Relationship Type="http://schemas.openxmlformats.org/officeDocument/2006/relationships/worksheet" Target="/xl/worksheets/sheet8.xml" Id="Rb4e9db7a594647e1" /><Relationship Type="http://schemas.openxmlformats.org/officeDocument/2006/relationships/worksheet" Target="/xl/worksheets/sheet9.xml" Id="Rab31cc2df1964c81" /><Relationship Type="http://schemas.openxmlformats.org/officeDocument/2006/relationships/worksheet" Target="/xl/worksheets/sheet10.xml" Id="R2731ac9604ac4673" /><Relationship Type="http://schemas.openxmlformats.org/officeDocument/2006/relationships/worksheet" Target="/xl/worksheets/sheet11.xml" Id="R0f9e9bcc5d5c47de" /><Relationship Type="http://schemas.openxmlformats.org/officeDocument/2006/relationships/worksheet" Target="/xl/worksheets/sheet12.xml" Id="R22b426c032234e2a" /><Relationship Type="http://schemas.microsoft.com/office/2017/10/relationships/person" Target="/xl/persons/person.xml" Id="R8ccc27f6a4f64d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f8bdc8a81a43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投入高峰集中於 4–5 月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總工數</c:v>
          </c:tx>
          <c:marker>
            <c:symbol val="none"/>
          </c:marker>
          <c:cat>
            <c:strRef>
              <c:f>'01_管理Dashboard'!$A$9:$A$12</c:f>
              <c:strCache>
                <c:ptCount val="0"/>
              </c:strCache>
            </c:strRef>
          </c:cat>
          <c:val>
            <c:numRef>
              <c:f>'01_管理Dashboard'!$B$9:$B$12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加班人時</c:v>
          </c:tx>
          <c:marker>
            <c:symbol val="none"/>
          </c:marker>
          <c:cat>
            <c:strRef>
              <c:f>'01_管理Dashboard'!$A$9:$A$12</c:f>
              <c:strCache>
                <c:ptCount val="0"/>
              </c:strCache>
            </c:strRef>
          </c:cat>
          <c:val>
            <c:numRef>
              <c:f>'01_管理Dashboard'!$C$9:$C$12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f8bdc8a81a43e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mber Chang" id="{36E10C10-6A52-41E4-A01B-63458B3F801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9" dT="2026-09-01T02:00:16.578" personId="{36E10C10-6A52-41E4-A01B-63458B3F801B}" id="{E783024F-B859-427A-90B1-FC5690722920}">
    <xltc:text>已確認：單一專案成本改善逾 NT$4M；原始前後報價與金額未提供，因此未在工作簿中推測。 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20068154c194d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1.xml" Id="R645e713bb7fc45e5" /><Relationship Type="http://schemas.openxmlformats.org/officeDocument/2006/relationships/vmlDrawing" Target="/xl/drawings/vmldrawing.vml" Id="R4ca5db4e82be4763" /><Relationship Type="http://schemas.microsoft.com/office/2017/10/relationships/threadedComment" Target="/xl/threadedcomments/threadedcomment.xml" Id="R5ed65980306f42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6.110000610351562" hidden="0" customWidth="1"/>
    <x:col min="3" max="3" width="16.670000076293945" hidden="0" customWidth="1"/>
    <x:col min="4" max="4" width="18.329999923706055" hidden="0" customWidth="1"/>
    <x:col min="5" max="5" width="21.110000610351562" hidden="0" customWidth="1"/>
    <x:col min="6" max="6" width="23.32999992370605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22.219999313354492" hidden="0" customWidth="1"/>
  </x:cols>
  <x:sheetData>
    <x:row r="1" ht="32" customHeight="1">
      <x:c r="A1" s="3" t="str">
        <x:v>履歷主張 × 作品集證據索引</x:v>
      </x:c>
    </x:row>
    <x:row r="2" ht="25" customHeight="1">
      <x:c r="A2" s="7" t="str">
        <x:v>匿名化重建｜只使用已確認的真實工作經驗與管理紀錄；黃色欄位代表需要本人補入原始數字或文件。</x:v>
      </x:c>
    </x:row>
    <x:row r="4" ht="25" customHeight="1">
      <x:c r="A4" s="16" t="str">
        <x:v>履歷主張</x:v>
      </x:c>
      <x:c r="B4" s="17" t="str">
        <x:v>JD 對應</x:v>
      </x:c>
      <x:c r="C4" s="17" t="str">
        <x:v>證據頁</x:v>
      </x:c>
      <x:c r="D4" s="17" t="str">
        <x:v>真實來源</x:v>
      </x:c>
      <x:c r="E4" s="17" t="str">
        <x:v>工作問題</x:v>
      </x:c>
      <x:c r="F4" s="17" t="str">
        <x:v>判斷／方法</x:v>
      </x:c>
      <x:c r="G4" s="17" t="str">
        <x:v>實際產出</x:v>
      </x:c>
      <x:c r="H4" s="17" t="str">
        <x:v>可證明能力</x:v>
      </x:c>
      <x:c r="I4" s="17" t="str">
        <x:v>證據強度</x:v>
      </x:c>
      <x:c r="J4" s="18" t="str">
        <x:v>待補項目</x:v>
      </x:c>
    </x:row>
    <x:row r="5" ht="24" customHeight="1">
      <x:c r="A5" s="38" t="str">
        <x:v>專案排程與風險管理</x:v>
      </x:c>
      <x:c r="B5" s="39" t="str">
        <x:v>跨部門協作／NPI 支援</x:v>
      </x:c>
      <x:c r="C5" s="39" t="str">
        <x:v>02_WBS甘特、04_RIA</x:v>
      </x:c>
      <x:c r="D5" s="39" t="str">
        <x:v>2026/03-06 匿名化現場紀錄</x:v>
      </x:c>
      <x:c r="E5" s="39" t="str">
        <x:v>工項、到貨與施工面互相牽動</x:v>
      </x:c>
      <x:c r="F5" s="39" t="str">
        <x:v>WBS、依賴、里程碑、例外追蹤</x:v>
      </x:c>
      <x:c r="G5" s="39" t="str">
        <x:v>Gantt、Risk Register、Issue Log</x:v>
      </x:c>
      <x:c r="H5" s="39" t="str">
        <x:v>Project Management／Risk／Issue</x:v>
      </x:c>
      <x:c r="I5" s="53" t="str">
        <x:v>強</x:v>
      </x:c>
      <x:c r="J5" s="59" t="str">
        <x:v>補入原始 baseline 版本</x:v>
      </x:c>
    </x:row>
    <x:row r="6" ht="24" customHeight="1">
      <x:c r="A6" s="41" t="str">
        <x:v>供應商與成本管理</x:v>
      </x:c>
      <x:c r="B6" s="42" t="str">
        <x:v>Sourcing／RFQ／Negotiation</x:v>
      </x:c>
      <x:c r="C6" s="42" t="str">
        <x:v>05_RFQ評選、06_成本議價</x:v>
      </x:c>
      <x:c r="D6" s="42" t="str">
        <x:v>詢比議價與單案降本實績</x:v>
      </x:c>
      <x:c r="E6" s="42" t="str">
        <x:v>報價範圍與條件不可直接比較</x:v>
      </x:c>
      <x:c r="F6" s="42" t="str">
        <x:v>先拉齊 scope，再比較總成本與履約風險</x:v>
      </x:c>
      <x:c r="G6" s="42" t="str">
        <x:v>RFQ matrix、Decision Record</x:v>
      </x:c>
      <x:c r="H6" s="42" t="str">
        <x:v>Sourcing／Cost Analysis／Negotiation</x:v>
      </x:c>
      <x:c r="I6" s="54" t="str">
        <x:v>中強</x:v>
      </x:c>
      <x:c r="J6" s="60" t="str">
        <x:v>補入原始報價的匿名化欄位</x:v>
      </x:c>
    </x:row>
    <x:row r="7" ht="24" customHeight="1">
      <x:c r="A7" s="41" t="str">
        <x:v>供應商能力、投入與風險追蹤</x:v>
      </x:c>
      <x:c r="B7" s="42" t="str">
        <x:v>Capability／Capacity／Lead time／Risk</x:v>
      </x:c>
      <x:c r="C7" s="42" t="str">
        <x:v>07_供應商績效</x:v>
      </x:c>
      <x:c r="D7" s="42" t="str">
        <x:v>260+ 筆出工與加班紀錄</x:v>
      </x:c>
      <x:c r="E7" s="42" t="str">
        <x:v>投入資料分散且口徑不一</x:v>
      </x:c>
      <x:c r="F7" s="42" t="str">
        <x:v>清理、分類、彙總並保留來源追溯</x:v>
      </x:c>
      <x:c r="G7" s="42" t="str">
        <x:v>Supplier Scorecard</x:v>
      </x:c>
      <x:c r="H7" s="42" t="str">
        <x:v>Supplier Performance／Data Analysis</x:v>
      </x:c>
      <x:c r="I7" s="54" t="str">
        <x:v>強</x:v>
      </x:c>
      <x:c r="J7" s="60" t="str">
        <x:v>補入品質與缺失關閉資料</x:v>
      </x:c>
    </x:row>
    <x:row r="8" ht="24" customHeight="1">
      <x:c r="A8" s="41" t="str">
        <x:v>合約、估驗與請款控管</x:v>
      </x:c>
      <x:c r="B8" s="42" t="str">
        <x:v>Sourcing data／Operations</x:v>
      </x:c>
      <x:c r="C8" s="42" t="str">
        <x:v>09_合約付款、10_驗收請款</x:v>
      </x:c>
      <x:c r="D8" s="42" t="str">
        <x:v>真實請款文件匿名化</x:v>
      </x:c>
      <x:c r="E8" s="42" t="str">
        <x:v>履約、附件與付款條件可能脫節</x:v>
      </x:c>
      <x:c r="F8" s="42" t="str">
        <x:v>以里程碑與 Evidence Gate 勾稽</x:v>
      </x:c>
      <x:c r="G8" s="42" t="str">
        <x:v>Payment Milestone、Claim Checklist</x:v>
      </x:c>
      <x:c r="H8" s="42" t="str">
        <x:v>Contract／Payment Control</x:v>
      </x:c>
      <x:c r="I8" s="54" t="str">
        <x:v>中強</x:v>
      </x:c>
      <x:c r="J8" s="60" t="str">
        <x:v>補入第二筆以上匿名化請款</x:v>
      </x:c>
    </x:row>
    <x:row r="9" ht="24" customHeight="1">
      <x:c r="A9" s="44" t="str">
        <x:v>數據化管理與決策支援</x:v>
      </x:c>
      <x:c r="B9" s="45" t="str">
        <x:v>Maintain sourcing data and reports</x:v>
      </x:c>
      <x:c r="C9" s="45" t="str">
        <x:v>01_Dashboard、11_資料工具</x:v>
      </x:c>
      <x:c r="D9" s="45" t="str">
        <x:v>Excel／Google Sheets 實際工作邏輯</x:v>
      </x:c>
      <x:c r="E9" s="45" t="str">
        <x:v>管理者無法從明細快速看見例外</x:v>
      </x:c>
      <x:c r="F9" s="45" t="str">
        <x:v>將原始列轉為 KPI、趨勢與決策清單</x:v>
      </x:c>
      <x:c r="G9" s="45" t="str">
        <x:v>Management Dashboard</x:v>
      </x:c>
      <x:c r="H9" s="45" t="str">
        <x:v>Data Management／Reporting</x:v>
      </x:c>
      <x:c r="I9" s="55" t="str">
        <x:v>強</x:v>
      </x:c>
      <x:c r="J9" s="61" t="str">
        <x:v>Power BI 版本為作品集實作，非在職導入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1.670000076293945" hidden="0" customWidth="1"/>
    <x:col min="3" max="3" width="11.670000076293945" hidden="0" customWidth="1"/>
    <x:col min="4" max="4" width="17.780000686645508" hidden="0" customWidth="1"/>
    <x:col min="5" max="5" width="11.109999656677246" hidden="0" customWidth="1"/>
    <x:col min="6" max="6" width="11.109999656677246" hidden="0" customWidth="1"/>
    <x:col min="7" max="7" width="11.109999656677246" hidden="0" customWidth="1"/>
    <x:col min="8" max="8" width="11.109999656677246" hidden="0" customWidth="1"/>
    <x:col min="9" max="9" width="11.109999656677246" hidden="0" customWidth="1"/>
    <x:col min="10" max="10" width="11.109999656677246" hidden="0" customWidth="1"/>
    <x:col min="11" max="11" width="11.109999656677246" hidden="0" customWidth="1"/>
    <x:col min="12" max="12" width="11.109999656677246" hidden="0" customWidth="1"/>
  </x:cols>
  <x:sheetData>
    <x:row r="1" ht="32" customHeight="1">
      <x:c r="A1" s="3" t="str">
        <x:v>Project × Procurement Management Dashboard</x:v>
      </x:c>
    </x:row>
    <x:row r="2" ht="25" customHeight="1">
      <x:c r="A2" s="7" t="str">
        <x:v>案例：大型物流／工程建置專案｜實績指標取自匿名化工作紀錄；非 Power BI 正式上線畫面。</x:v>
      </x:c>
    </x:row>
    <x:row r="4" ht="32" customHeight="1">
      <x:c r="A4" s="63" t="str">
        <x:v>260+</x:v>
      </x:c>
      <x:c r="D4" s="63" t="str">
        <x:v>1,696.81</x:v>
      </x:c>
      <x:c r="G4" s="63" t="str">
        <x:v>1,364.5</x:v>
      </x:c>
      <x:c r="J4" s="63" t="str">
        <x:v>NT$4M+</x:v>
      </x:c>
    </x:row>
    <x:row r="5" ht="22" customHeight="1">
      <x:c r="A5" s="65" t="str">
        <x:v>可追溯工作紀錄</x:v>
      </x:c>
      <x:c r="D5" s="65" t="str">
        <x:v>累計工數</x:v>
      </x:c>
      <x:c r="G5" s="65" t="str">
        <x:v>加班人時</x:v>
      </x:c>
      <x:c r="J5" s="65" t="str">
        <x:v>單案成本改善</x:v>
      </x:c>
    </x:row>
    <x:row r="7" ht="24" customHeight="1">
      <x:c r="A7" s="68" t="str">
        <x:v>月度投入趨勢（實績）</x:v>
      </x:c>
      <x:c r="B7" s="68" t="str">
        <x:v>月度投入趨勢（實績）</x:v>
      </x:c>
      <x:c r="C7" s="68" t="str">
        <x:v>月度投入趨勢（實績）</x:v>
      </x:c>
      <x:c r="D7" s="68" t="str">
        <x:v>月度投入趨勢（實績）</x:v>
      </x:c>
      <x:c r="E7" s="68" t="str">
        <x:v>月度投入趨勢（實績）</x:v>
      </x:c>
      <x:c r="F7" s="68" t="str">
        <x:v>月度投入趨勢（實績）</x:v>
      </x:c>
    </x:row>
    <x:row r="8" ht="25" customHeight="1">
      <x:c r="A8" s="16" t="str">
        <x:v>月份</x:v>
      </x:c>
      <x:c r="B8" s="17" t="str">
        <x:v>總工數</x:v>
      </x:c>
      <x:c r="C8" s="18" t="str">
        <x:v>加班人時</x:v>
      </x:c>
    </x:row>
    <x:row r="9" ht="24" customHeight="1">
      <x:c r="A9" s="38" t="str">
        <x:v>2026-03</x:v>
      </x:c>
      <x:c r="B9" s="69" t="n">
        <x:v>157.425</x:v>
      </x:c>
      <x:c r="C9" s="70" t="n">
        <x:v>101.5</x:v>
      </x:c>
    </x:row>
    <x:row r="10" ht="24" customHeight="1">
      <x:c r="A10" s="41" t="str">
        <x:v>2026-04</x:v>
      </x:c>
      <x:c r="B10" s="71" t="n">
        <x:v>678.135</x:v>
      </x:c>
      <x:c r="C10" s="72" t="n">
        <x:v>659</x:v>
      </x:c>
    </x:row>
    <x:row r="11" ht="24" customHeight="1">
      <x:c r="A11" s="41" t="str">
        <x:v>2026-05</x:v>
      </x:c>
      <x:c r="B11" s="71" t="n">
        <x:v>847.75</x:v>
      </x:c>
      <x:c r="C11" s="72" t="n">
        <x:v>604</x:v>
      </x:c>
    </x:row>
    <x:row r="12" ht="24" customHeight="1">
      <x:c r="A12" s="44" t="str">
        <x:v>2026-06</x:v>
      </x:c>
      <x:c r="B12" s="73" t="n">
        <x:v>13.5</x:v>
      </x:c>
      <x:c r="C12" s="74" t="n">
        <x:v>0</x:v>
      </x:c>
    </x:row>
    <x:row r="14" ht="24" customHeight="1">
      <x:c r="A14" s="68" t="str">
        <x:v>管理層 Attention</x:v>
      </x:c>
      <x:c r="B14" s="68" t="str">
        <x:v>管理層 Attention</x:v>
      </x:c>
      <x:c r="C14" s="68" t="str">
        <x:v>管理層 Attention</x:v>
      </x:c>
      <x:c r="D14" s="68" t="str">
        <x:v>管理層 Attention</x:v>
      </x:c>
    </x:row>
    <x:row r="15" ht="25" customHeight="1">
      <x:c r="A15" s="16" t="str">
        <x:v>層級</x:v>
      </x:c>
      <x:c r="B15" s="17" t="str">
        <x:v>管理例外</x:v>
      </x:c>
      <x:c r="C15" s="17" t="str">
        <x:v>判斷</x:v>
      </x:c>
      <x:c r="D15" s="18" t="str">
        <x:v>下一步</x:v>
      </x:c>
    </x:row>
    <x:row r="16" ht="24" customHeight="1">
      <x:c r="A16" s="38" t="str">
        <x:v>成本</x:v>
      </x:c>
      <x:c r="B16" s="39" t="str">
        <x:v>加班與機具投入集中</x:v>
      </x:c>
      <x:c r="C16" s="39" t="str">
        <x:v>需與完成工項／恢復計畫對照，不能只看人數</x:v>
      </x:c>
      <x:c r="D16" s="40" t="str">
        <x:v>依工項與區域回查原始列</x:v>
      </x:c>
    </x:row>
    <x:row r="17" ht="24" customHeight="1">
      <x:c r="A17" s="41" t="str">
        <x:v>進度</x:v>
      </x:c>
      <x:c r="B17" s="42" t="str">
        <x:v>安裝、調整與測試前後依賴</x:v>
      </x:c>
      <x:c r="C17" s="42" t="str">
        <x:v>延誤時先判斷關鍵路徑與替代施工面</x:v>
      </x:c>
      <x:c r="D17" s="43" t="str">
        <x:v>更新 3-week look-ahead</x:v>
      </x:c>
    </x:row>
    <x:row r="18" ht="24" customHeight="1">
      <x:c r="A18" s="44" t="str">
        <x:v>付款</x:v>
      </x:c>
      <x:c r="B18" s="45" t="str">
        <x:v>估驗附件與累計數字需勾稽</x:v>
      </x:c>
      <x:c r="C18" s="45" t="str">
        <x:v>沒有交付證據不進入付款核准</x:v>
      </x:c>
      <x:c r="D18" s="46" t="str">
        <x:v>缺件退補並保留紀錄</x:v>
      </x:c>
    </x:row>
    <x:row r="21" ht="34" customHeight="1">
      <x:c r="A21" s="89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B21" s="90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C21" s="90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D21" s="90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E21" s="90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F21" s="90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G21" s="90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H21" s="90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I21" s="90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J21" s="90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K21" s="90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L21" s="91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</x:row>
    <x:row r="22" ht="34" customHeight="1">
      <x:c r="A22" s="92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B22" s="93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C22" s="93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D22" s="93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E22" s="93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F22" s="93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G22" s="93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H22" s="93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I22" s="93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J22" s="93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K22" s="93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  <x:c r="L22" s="94" t="str">
        <x:v>Evidence boundary｜本 Dashboard 的工數、加班人時、資料期間與單案降本為已確認實績；里程碑基準、原始報價與品質分數未取得，其他工作表將以黃色欄位標示待補，不以示意數字替代。 </x:v>
      </x:c>
    </x:row>
  </x:sheetData>
  <x:mergeCells>
    <x:mergeCell ref="A1:L1"/>
    <x:mergeCell ref="A2:L2"/>
    <x:mergeCell ref="A4:C4"/>
    <x:mergeCell ref="A5:C5"/>
    <x:mergeCell ref="D4:F4"/>
    <x:mergeCell ref="D5:F5"/>
    <x:mergeCell ref="G4:I4"/>
    <x:mergeCell ref="G5:I5"/>
    <x:mergeCell ref="J4:L4"/>
    <x:mergeCell ref="J5:L5"/>
    <x:mergeCell ref="A7:F7"/>
    <x:mergeCell ref="A14:D14"/>
    <x:mergeCell ref="A21:L22"/>
  </x:mergeCells>
  <x:pageMargins left="0.7" right="0.7" top="0.75" bottom="0.75" header="0.3" footer="0.3"/>
  <x:drawing xmlns:r="http://schemas.openxmlformats.org/officeDocument/2006/relationships" r:id="Ra20068154c194dd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23.329999923706055" hidden="0" customWidth="1"/>
    <x:col min="3" max="3" width="11.109999656677246" hidden="0" customWidth="1"/>
    <x:col min="4" max="4" width="10" hidden="0" customWidth="1"/>
    <x:col min="5" max="5" width="10" hidden="0" customWidth="1"/>
    <x:col min="6" max="6" width="24.440000534057617" hidden="0" customWidth="1"/>
    <x:col min="7" max="7" width="6.110000133514404" hidden="0" customWidth="1"/>
    <x:col min="8" max="8" width="6.110000133514404" hidden="0" customWidth="1"/>
    <x:col min="9" max="9" width="6.110000133514404" hidden="0" customWidth="1"/>
    <x:col min="10" max="10" width="6.110000133514404" hidden="0" customWidth="1"/>
    <x:col min="11" max="11" width="6.110000133514404" hidden="0" customWidth="1"/>
    <x:col min="12" max="12" width="6.110000133514404" hidden="0" customWidth="1"/>
    <x:col min="13" max="13" width="6.110000133514404" hidden="0" customWidth="1"/>
    <x:col min="14" max="14" width="6.110000133514404" hidden="0" customWidth="1"/>
    <x:col min="15" max="15" width="6.110000133514404" hidden="0" customWidth="1"/>
    <x:col min="16" max="16" width="6.110000133514404" hidden="0" customWidth="1"/>
    <x:col min="17" max="17" width="6.110000133514404" hidden="0" customWidth="1"/>
  </x:cols>
  <x:sheetData>
    <x:row r="1" ht="32" customHeight="1">
      <x:c r="A1" s="3" t="str">
        <x:v>WBS／Gantt／Dependency</x:v>
      </x:c>
    </x:row>
    <x:row r="2" ht="25" customHeight="1">
      <x:c r="A2" s="7" t="str">
        <x:v>以 2026/03–05 真實出工活動重建 actual execution；原始 planned baseline 未取得，請勿將本頁解讀為當時核准版基準排程。</x:v>
      </x:c>
    </x:row>
    <x:row r="4" ht="25" customHeight="1">
      <x:c r="A4" s="16" t="str">
        <x:v>WBS</x:v>
      </x:c>
      <x:c r="B4" s="17" t="str">
        <x:v>工作包／活動</x:v>
      </x:c>
      <x:c r="C4" s="17" t="str">
        <x:v>前置</x:v>
      </x:c>
      <x:c r="D4" s="17" t="str">
        <x:v>實際起日</x:v>
      </x:c>
      <x:c r="E4" s="17" t="str">
        <x:v>實際迄日</x:v>
      </x:c>
      <x:c r="F4" s="18" t="str">
        <x:v>證據來源</x:v>
      </x:c>
      <x:c r="G4" s="16" t="str">
        <x:v>03-09</x:v>
      </x:c>
      <x:c r="H4" s="17" t="str">
        <x:v>03-16</x:v>
      </x:c>
      <x:c r="I4" s="17" t="str">
        <x:v>03-23</x:v>
      </x:c>
      <x:c r="J4" s="17" t="str">
        <x:v>03-30</x:v>
      </x:c>
      <x:c r="K4" s="17" t="str">
        <x:v>04-06</x:v>
      </x:c>
      <x:c r="L4" s="17" t="str">
        <x:v>04-13</x:v>
      </x:c>
      <x:c r="M4" s="17" t="str">
        <x:v>04-20</x:v>
      </x:c>
      <x:c r="N4" s="17" t="str">
        <x:v>04-27</x:v>
      </x:c>
      <x:c r="O4" s="17" t="str">
        <x:v>05-04</x:v>
      </x:c>
      <x:c r="P4" s="17" t="str">
        <x:v>05-11</x:v>
      </x:c>
      <x:c r="Q4" s="18" t="str">
        <x:v>05-18</x:v>
      </x:c>
    </x:row>
    <x:row r="5" ht="24" customHeight="1">
      <x:c r="A5" s="38" t="str">
        <x:v>1.0</x:v>
      </x:c>
      <x:c r="B5" s="39" t="str">
        <x:v>放樣與基準確認</x:v>
      </x:c>
      <x:c r="C5" s="39" t="str">
        <x:v>-</x:v>
      </x:c>
      <x:c r="D5" s="95" t="n">
        <x:v>46090</x:v>
      </x:c>
      <x:c r="E5" s="95" t="n">
        <x:v>46098</x:v>
      </x:c>
      <x:c r="F5" s="40" t="str">
        <x:v>出工紀錄：放樣／高程量測</x:v>
      </x:c>
      <x:c r="G5" s="100" t="str">
        <x:v>■</x:v>
      </x:c>
      <x:c r="H5" s="100" t="str">
        <x:v>■</x:v>
      </x:c>
    </x:row>
    <x:row r="6" ht="24" customHeight="1">
      <x:c r="A6" s="41" t="str">
        <x:v>1.1</x:v>
      </x:c>
      <x:c r="B6" s="42" t="str">
        <x:v>鑽孔、植栓與障礙處理</x:v>
      </x:c>
      <x:c r="C6" s="42" t="str">
        <x:v>1.0</x:v>
      </x:c>
      <x:c r="D6" s="96" t="n">
        <x:v>46099</x:v>
      </x:c>
      <x:c r="E6" s="96" t="n">
        <x:v>46101</x:v>
      </x:c>
      <x:c r="F6" s="43" t="str">
        <x:v>鑽孔／植栓數量與異常紀錄</x:v>
      </x:c>
      <x:c r="H6" s="100" t="str">
        <x:v>■</x:v>
      </x:c>
    </x:row>
    <x:row r="7" ht="24" customHeight="1">
      <x:c r="A7" s="41" t="str">
        <x:v>2.0</x:v>
      </x:c>
      <x:c r="B7" s="42" t="str">
        <x:v>鋼平台立柱與樑安裝</x:v>
      </x:c>
      <x:c r="C7" s="42" t="str">
        <x:v>1.1</x:v>
      </x:c>
      <x:c r="D7" s="96" t="n">
        <x:v>46101</x:v>
      </x:c>
      <x:c r="E7" s="96" t="n">
        <x:v>46114</x:v>
      </x:c>
      <x:c r="F7" s="43" t="str">
        <x:v>立柱、樑、角鋼工作紀錄</x:v>
      </x:c>
      <x:c r="H7" s="100" t="str">
        <x:v>■</x:v>
      </x:c>
      <x:c r="I7" s="100" t="str">
        <x:v>■</x:v>
      </x:c>
      <x:c r="J7" s="100" t="str">
        <x:v>■</x:v>
      </x:c>
    </x:row>
    <x:row r="8" ht="24" customHeight="1">
      <x:c r="A8" s="41" t="str">
        <x:v>2.1</x:v>
      </x:c>
      <x:c r="B8" s="42" t="str">
        <x:v>鋼構調整、焊接與補漆</x:v>
      </x:c>
      <x:c r="C8" s="42" t="str">
        <x:v>2.0</x:v>
      </x:c>
      <x:c r="D8" s="96" t="n">
        <x:v>46106</x:v>
      </x:c>
      <x:c r="E8" s="96" t="n">
        <x:v>46127</x:v>
      </x:c>
      <x:c r="F8" s="43" t="str">
        <x:v>調整／焊接／研磨補漆紀錄</x:v>
      </x:c>
      <x:c r="I8" s="100" t="str">
        <x:v>■</x:v>
      </x:c>
      <x:c r="J8" s="100" t="str">
        <x:v>■</x:v>
      </x:c>
      <x:c r="K8" s="100" t="str">
        <x:v>■</x:v>
      </x:c>
      <x:c r="L8" s="100" t="str">
        <x:v>■</x:v>
      </x:c>
    </x:row>
    <x:row r="9" ht="24" customHeight="1">
      <x:c r="A9" s="41" t="str">
        <x:v>3.0</x:v>
      </x:c>
      <x:c r="B9" s="42" t="str">
        <x:v>貨架與軌道 1–16 LINE</x:v>
      </x:c>
      <x:c r="C9" s="42" t="str">
        <x:v>2.0</x:v>
      </x:c>
      <x:c r="D9" s="96" t="n">
        <x:v>46102</x:v>
      </x:c>
      <x:c r="E9" s="96" t="n">
        <x:v>46126</x:v>
      </x:c>
      <x:c r="F9" s="43" t="str">
        <x:v>貨架地組、吊裝、軌道安裝</x:v>
      </x:c>
      <x:c r="H9" s="102" t="str">
        <x:v>■</x:v>
      </x:c>
      <x:c r="I9" s="102" t="str">
        <x:v>■</x:v>
      </x:c>
      <x:c r="J9" s="102" t="str">
        <x:v>■</x:v>
      </x:c>
      <x:c r="K9" s="102" t="str">
        <x:v>■</x:v>
      </x:c>
      <x:c r="L9" s="102" t="str">
        <x:v>■</x:v>
      </x:c>
    </x:row>
    <x:row r="10" ht="24" customHeight="1">
      <x:c r="A10" s="41" t="str">
        <x:v>3.1</x:v>
      </x:c>
      <x:c r="B10" s="42" t="str">
        <x:v>貨架與軌道 17–36 LINE</x:v>
      </x:c>
      <x:c r="C10" s="42" t="str">
        <x:v>3.0</x:v>
      </x:c>
      <x:c r="D10" s="96" t="n">
        <x:v>46126</x:v>
      </x:c>
      <x:c r="E10" s="96" t="n">
        <x:v>46136</x:v>
      </x:c>
      <x:c r="F10" s="43" t="str">
        <x:v>區域化施工紀錄</x:v>
      </x:c>
      <x:c r="L10" s="102" t="str">
        <x:v>■</x:v>
      </x:c>
      <x:c r="M10" s="102" t="str">
        <x:v>■</x:v>
      </x:c>
    </x:row>
    <x:row r="11" ht="24" customHeight="1">
      <x:c r="A11" s="41" t="str">
        <x:v>3.2</x:v>
      </x:c>
      <x:c r="B11" s="42" t="str">
        <x:v>貨架與軌道 37–50 LINE</x:v>
      </x:c>
      <x:c r="C11" s="42" t="str">
        <x:v>3.1</x:v>
      </x:c>
      <x:c r="D11" s="96" t="n">
        <x:v>46136</x:v>
      </x:c>
      <x:c r="E11" s="96" t="n">
        <x:v>46153</x:v>
      </x:c>
      <x:c r="F11" s="43" t="str">
        <x:v>區域化施工紀錄</x:v>
      </x:c>
      <x:c r="M11" s="102" t="str">
        <x:v>■</x:v>
      </x:c>
      <x:c r="N11" s="102" t="str">
        <x:v>■</x:v>
      </x:c>
      <x:c r="O11" s="102" t="str">
        <x:v>■</x:v>
      </x:c>
      <x:c r="P11" s="102" t="str">
        <x:v>■</x:v>
      </x:c>
    </x:row>
    <x:row r="12" ht="24" customHeight="1">
      <x:c r="A12" s="41" t="str">
        <x:v>4.0</x:v>
      </x:c>
      <x:c r="B12" s="42" t="str">
        <x:v>垂直／水平調整與配件</x:v>
      </x:c>
      <x:c r="C12" s="42" t="str">
        <x:v>3.0,3.1,3.2</x:v>
      </x:c>
      <x:c r="D12" s="96" t="n">
        <x:v>46118</x:v>
      </x:c>
      <x:c r="E12" s="96" t="n">
        <x:v>46157</x:v>
      </x:c>
      <x:c r="F12" s="43" t="str">
        <x:v>垂直、水平、拉桿、鎖固紀錄</x:v>
      </x:c>
      <x:c r="K12" s="102" t="str">
        <x:v>■</x:v>
      </x:c>
      <x:c r="L12" s="102" t="str">
        <x:v>■</x:v>
      </x:c>
      <x:c r="M12" s="102" t="str">
        <x:v>■</x:v>
      </x:c>
      <x:c r="N12" s="102" t="str">
        <x:v>■</x:v>
      </x:c>
      <x:c r="O12" s="102" t="str">
        <x:v>■</x:v>
      </x:c>
      <x:c r="P12" s="102" t="str">
        <x:v>■</x:v>
      </x:c>
    </x:row>
    <x:row r="13" ht="24" customHeight="1">
      <x:c r="A13" s="41" t="str">
        <x:v>5.0</x:v>
      </x:c>
      <x:c r="B13" s="42" t="str">
        <x:v>維修平台、安全門與安全網</x:v>
      </x:c>
      <x:c r="C13" s="42" t="str">
        <x:v>4.0</x:v>
      </x:c>
      <x:c r="D13" s="96" t="n">
        <x:v>46149</x:v>
      </x:c>
      <x:c r="E13" s="96" t="n">
        <x:v>46163</x:v>
      </x:c>
      <x:c r="F13" s="43" t="str">
        <x:v>維修平台與安全配件紀錄</x:v>
      </x:c>
      <x:c r="O13" s="102" t="str">
        <x:v>■</x:v>
      </x:c>
      <x:c r="P13" s="102" t="str">
        <x:v>■</x:v>
      </x:c>
      <x:c r="Q13" s="102" t="str">
        <x:v>■</x:v>
      </x:c>
    </x:row>
    <x:row r="14" ht="24" customHeight="1">
      <x:c r="A14" s="44" t="str">
        <x:v>5.1</x:v>
      </x:c>
      <x:c r="B14" s="45" t="str">
        <x:v>測試、巡檢與缺失關閉</x:v>
      </x:c>
      <x:c r="C14" s="45" t="str">
        <x:v>4.0,5.0</x:v>
      </x:c>
      <x:c r="D14" s="97" t="n">
        <x:v>46161</x:v>
      </x:c>
      <x:c r="E14" s="97" t="n">
        <x:v>46163</x:v>
      </x:c>
      <x:c r="F14" s="46" t="str">
        <x:v>測試／巡查紀錄；完成定義待補</x:v>
      </x:c>
      <x:c r="Q14" s="102" t="str">
        <x:v>■</x:v>
      </x:c>
    </x:row>
    <x:row r="16" ht="34" customHeight="1">
      <x:c r="A16" s="89" t="str">
        <x:v>Dependency proof｜此頁證明能把現場活動拆成 WBS、前後置與區域施工序列。若要作為正式 baseline 證據，仍需補入當時核准版排程、版本日期與變更紀錄。 </x:v>
      </x:c>
      <x:c r="B16" s="90" t="str">
        <x:v>Dependency proof｜此頁證明能把現場活動拆成 WBS、前後置與區域施工序列。若要作為正式 baseline 證據，仍需補入當時核准版排程、版本日期與變更紀錄。 </x:v>
      </x:c>
      <x:c r="C16" s="90" t="str">
        <x:v>Dependency proof｜此頁證明能把現場活動拆成 WBS、前後置與區域施工序列。若要作為正式 baseline 證據，仍需補入當時核准版排程、版本日期與變更紀錄。 </x:v>
      </x:c>
      <x:c r="D16" s="90" t="str">
        <x:v>Dependency proof｜此頁證明能把現場活動拆成 WBS、前後置與區域施工序列。若要作為正式 baseline 證據，仍需補入當時核准版排程、版本日期與變更紀錄。 </x:v>
      </x:c>
      <x:c r="E16" s="90" t="str">
        <x:v>Dependency proof｜此頁證明能把現場活動拆成 WBS、前後置與區域施工序列。若要作為正式 baseline 證據，仍需補入當時核准版排程、版本日期與變更紀錄。 </x:v>
      </x:c>
      <x:c r="F16" s="90" t="str">
        <x:v>Dependency proof｜此頁證明能把現場活動拆成 WBS、前後置與區域施工序列。若要作為正式 baseline 證據，仍需補入當時核准版排程、版本日期與變更紀錄。 </x:v>
      </x:c>
      <x:c r="G16" s="90" t="str">
        <x:v>Dependency proof｜此頁證明能把現場活動拆成 WBS、前後置與區域施工序列。若要作為正式 baseline 證據，仍需補入當時核准版排程、版本日期與變更紀錄。 </x:v>
      </x:c>
      <x:c r="H16" s="90" t="str">
        <x:v>Dependency proof｜此頁證明能把現場活動拆成 WBS、前後置與區域施工序列。若要作為正式 baseline 證據，仍需補入當時核准版排程、版本日期與變更紀錄。 </x:v>
      </x:c>
      <x:c r="I16" s="90" t="str">
        <x:v>Dependency proof｜此頁證明能把現場活動拆成 WBS、前後置與區域施工序列。若要作為正式 baseline 證據，仍需補入當時核准版排程、版本日期與變更紀錄。 </x:v>
      </x:c>
      <x:c r="J16" s="90" t="str">
        <x:v>Dependency proof｜此頁證明能把現場活動拆成 WBS、前後置與區域施工序列。若要作為正式 baseline 證據，仍需補入當時核准版排程、版本日期與變更紀錄。 </x:v>
      </x:c>
      <x:c r="K16" s="90" t="str">
        <x:v>Dependency proof｜此頁證明能把現場活動拆成 WBS、前後置與區域施工序列。若要作為正式 baseline 證據，仍需補入當時核准版排程、版本日期與變更紀錄。 </x:v>
      </x:c>
      <x:c r="L16" s="90" t="str">
        <x:v>Dependency proof｜此頁證明能把現場活動拆成 WBS、前後置與區域施工序列。若要作為正式 baseline 證據，仍需補入當時核准版排程、版本日期與變更紀錄。 </x:v>
      </x:c>
      <x:c r="M16" s="90" t="str">
        <x:v>Dependency proof｜此頁證明能把現場活動拆成 WBS、前後置與區域施工序列。若要作為正式 baseline 證據，仍需補入當時核准版排程、版本日期與變更紀錄。 </x:v>
      </x:c>
      <x:c r="N16" s="90" t="str">
        <x:v>Dependency proof｜此頁證明能把現場活動拆成 WBS、前後置與區域施工序列。若要作為正式 baseline 證據，仍需補入當時核准版排程、版本日期與變更紀錄。 </x:v>
      </x:c>
      <x:c r="O16" s="90" t="str">
        <x:v>Dependency proof｜此頁證明能把現場活動拆成 WBS、前後置與區域施工序列。若要作為正式 baseline 證據，仍需補入當時核准版排程、版本日期與變更紀錄。 </x:v>
      </x:c>
      <x:c r="P16" s="90" t="str">
        <x:v>Dependency proof｜此頁證明能把現場活動拆成 WBS、前後置與區域施工序列。若要作為正式 baseline 證據，仍需補入當時核准版排程、版本日期與變更紀錄。 </x:v>
      </x:c>
      <x:c r="Q16" s="91" t="str">
        <x:v>Dependency proof｜此頁證明能把現場活動拆成 WBS、前後置與區域施工序列。若要作為正式 baseline 證據，仍需補入當時核准版排程、版本日期與變更紀錄。 </x:v>
      </x:c>
    </x:row>
    <x:row r="17" ht="34" customHeight="1">
      <x:c r="A17" s="92" t="str">
        <x:v>Dependency proof｜此頁證明能把現場活動拆成 WBS、前後置與區域施工序列。若要作為正式 baseline 證據，仍需補入當時核准版排程、版本日期與變更紀錄。 </x:v>
      </x:c>
      <x:c r="B17" s="93" t="str">
        <x:v>Dependency proof｜此頁證明能把現場活動拆成 WBS、前後置與區域施工序列。若要作為正式 baseline 證據，仍需補入當時核准版排程、版本日期與變更紀錄。 </x:v>
      </x:c>
      <x:c r="C17" s="93" t="str">
        <x:v>Dependency proof｜此頁證明能把現場活動拆成 WBS、前後置與區域施工序列。若要作為正式 baseline 證據，仍需補入當時核准版排程、版本日期與變更紀錄。 </x:v>
      </x:c>
      <x:c r="D17" s="93" t="str">
        <x:v>Dependency proof｜此頁證明能把現場活動拆成 WBS、前後置與區域施工序列。若要作為正式 baseline 證據，仍需補入當時核准版排程、版本日期與變更紀錄。 </x:v>
      </x:c>
      <x:c r="E17" s="93" t="str">
        <x:v>Dependency proof｜此頁證明能把現場活動拆成 WBS、前後置與區域施工序列。若要作為正式 baseline 證據，仍需補入當時核准版排程、版本日期與變更紀錄。 </x:v>
      </x:c>
      <x:c r="F17" s="93" t="str">
        <x:v>Dependency proof｜此頁證明能把現場活動拆成 WBS、前後置與區域施工序列。若要作為正式 baseline 證據，仍需補入當時核准版排程、版本日期與變更紀錄。 </x:v>
      </x:c>
      <x:c r="G17" s="93" t="str">
        <x:v>Dependency proof｜此頁證明能把現場活動拆成 WBS、前後置與區域施工序列。若要作為正式 baseline 證據，仍需補入當時核准版排程、版本日期與變更紀錄。 </x:v>
      </x:c>
      <x:c r="H17" s="93" t="str">
        <x:v>Dependency proof｜此頁證明能把現場活動拆成 WBS、前後置與區域施工序列。若要作為正式 baseline 證據，仍需補入當時核准版排程、版本日期與變更紀錄。 </x:v>
      </x:c>
      <x:c r="I17" s="93" t="str">
        <x:v>Dependency proof｜此頁證明能把現場活動拆成 WBS、前後置與區域施工序列。若要作為正式 baseline 證據，仍需補入當時核准版排程、版本日期與變更紀錄。 </x:v>
      </x:c>
      <x:c r="J17" s="93" t="str">
        <x:v>Dependency proof｜此頁證明能把現場活動拆成 WBS、前後置與區域施工序列。若要作為正式 baseline 證據，仍需補入當時核准版排程、版本日期與變更紀錄。 </x:v>
      </x:c>
      <x:c r="K17" s="93" t="str">
        <x:v>Dependency proof｜此頁證明能把現場活動拆成 WBS、前後置與區域施工序列。若要作為正式 baseline 證據，仍需補入當時核准版排程、版本日期與變更紀錄。 </x:v>
      </x:c>
      <x:c r="L17" s="93" t="str">
        <x:v>Dependency proof｜此頁證明能把現場活動拆成 WBS、前後置與區域施工序列。若要作為正式 baseline 證據，仍需補入當時核准版排程、版本日期與變更紀錄。 </x:v>
      </x:c>
      <x:c r="M17" s="93" t="str">
        <x:v>Dependency proof｜此頁證明能把現場活動拆成 WBS、前後置與區域施工序列。若要作為正式 baseline 證據，仍需補入當時核准版排程、版本日期與變更紀錄。 </x:v>
      </x:c>
      <x:c r="N17" s="93" t="str">
        <x:v>Dependency proof｜此頁證明能把現場活動拆成 WBS、前後置與區域施工序列。若要作為正式 baseline 證據，仍需補入當時核准版排程、版本日期與變更紀錄。 </x:v>
      </x:c>
      <x:c r="O17" s="93" t="str">
        <x:v>Dependency proof｜此頁證明能把現場活動拆成 WBS、前後置與區域施工序列。若要作為正式 baseline 證據，仍需補入當時核准版排程、版本日期與變更紀錄。 </x:v>
      </x:c>
      <x:c r="P17" s="93" t="str">
        <x:v>Dependency proof｜此頁證明能把現場活動拆成 WBS、前後置與區域施工序列。若要作為正式 baseline 證據，仍需補入當時核准版排程、版本日期與變更紀錄。 </x:v>
      </x:c>
      <x:c r="Q17" s="94" t="str">
        <x:v>Dependency proof｜此頁證明能把現場活動拆成 WBS、前後置與區域施工序列。若要作為正式 baseline 證據，仍需補入當時核准版排程、版本日期與變更紀錄。 </x:v>
      </x:c>
    </x:row>
  </x:sheetData>
  <x:mergeCells>
    <x:mergeCell ref="A1:Q1"/>
    <x:mergeCell ref="A2:Q2"/>
    <x:mergeCell ref="A16:Q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7.780000686645508" hidden="0" customWidth="1"/>
    <x:col min="3" max="3" width="28.889999389648438" hidden="0" customWidth="1"/>
    <x:col min="4" max="4" width="10" hidden="0" customWidth="1"/>
    <x:col min="5" max="5" width="10.5600004196167" hidden="0" customWidth="1"/>
    <x:col min="6" max="6" width="11.109999656677246" hidden="0" customWidth="1"/>
    <x:col min="7" max="7" width="8.890000343322754" hidden="0" customWidth="1"/>
    <x:col min="8" max="8" width="13.329999923706055" hidden="0" customWidth="1"/>
    <x:col min="9" max="9" width="11.109999656677246" hidden="0" customWidth="1"/>
    <x:col min="10" max="10" width="18.889999389648438" hidden="0" customWidth="1"/>
  </x:cols>
  <x:sheetData>
    <x:row r="1" ht="32" customHeight="1">
      <x:c r="A1" s="3" t="str">
        <x:v>Milestone Plan／交付條件</x:v>
      </x:c>
    </x:row>
    <x:row r="2" ht="25" customHeight="1">
      <x:c r="A2" s="7" t="str">
        <x:v>實際日期取自紀錄；基準日期與核准者尚缺，保留黃色待補欄位。</x:v>
      </x:c>
    </x:row>
    <x:row r="4" ht="25" customHeight="1">
      <x:c r="A4" s="16" t="str">
        <x:v>ID</x:v>
      </x:c>
      <x:c r="B4" s="17" t="str">
        <x:v>Milestone</x:v>
      </x:c>
      <x:c r="C4" s="17" t="str">
        <x:v>完成定義／Gate</x:v>
      </x:c>
      <x:c r="D4" s="17" t="str">
        <x:v>前置</x:v>
      </x:c>
      <x:c r="E4" s="17" t="str">
        <x:v>Baseline</x:v>
      </x:c>
      <x:c r="F4" s="17" t="str">
        <x:v>Actual evidence</x:v>
      </x:c>
      <x:c r="G4" s="17" t="str">
        <x:v>Variance</x:v>
      </x:c>
      <x:c r="H4" s="17" t="str">
        <x:v>Owner</x:v>
      </x:c>
      <x:c r="I4" s="17" t="str">
        <x:v>狀態</x:v>
      </x:c>
      <x:c r="J4" s="18" t="str">
        <x:v>證據索引</x:v>
      </x:c>
    </x:row>
    <x:row r="5" ht="24" customHeight="1">
      <x:c r="A5" s="38" t="str">
        <x:v>M1</x:v>
      </x:c>
      <x:c r="B5" s="39" t="str">
        <x:v>放樣與高程基準完成</x:v>
      </x:c>
      <x:c r="C5" s="39" t="str">
        <x:v>基準點、軸線與柱位可供後續鑽孔／安裝</x:v>
      </x:c>
      <x:c r="D5" s="39" t="str">
        <x:v>-</x:v>
      </x:c>
      <x:c r="E5" s="103"/>
      <x:c r="F5" s="95" t="n">
        <x:v>46098</x:v>
      </x:c>
      <x:c r="G5" s="106" t="str">
        <x:f>IF(OR(E5="",F5=""),"",F5-E5)</x:f>
      </x:c>
      <x:c r="H5" s="39" t="str">
        <x:v>專案／測量</x:v>
      </x:c>
      <x:c r="I5" s="39" t="str">
        <x:v>有實績</x:v>
      </x:c>
      <x:c r="J5" s="40" t="str">
        <x:v>出工紀錄</x:v>
      </x:c>
    </x:row>
    <x:row r="6" ht="24" customHeight="1">
      <x:c r="A6" s="41" t="str">
        <x:v>M2</x:v>
      </x:c>
      <x:c r="B6" s="42" t="str">
        <x:v>鋼平台主結構形成</x:v>
      </x:c>
      <x:c r="C6" s="42" t="str">
        <x:v>立柱、主樑與關鍵連接完成，可承接後續介面</x:v>
      </x:c>
      <x:c r="D6" s="42" t="str">
        <x:v>M1</x:v>
      </x:c>
      <x:c r="E6" s="104"/>
      <x:c r="F6" s="96"/>
      <x:c r="G6" s="107" t="str">
        <x:f>IF(OR(E6="",F6=""),"",F6-E6)</x:f>
      </x:c>
      <x:c r="H6" s="42" t="str">
        <x:v>工程／供應商</x:v>
      </x:c>
      <x:c r="I6" s="42" t="str">
        <x:v>待補驗收日</x:v>
      </x:c>
      <x:c r="J6" s="43" t="str">
        <x:v>施工紀錄＋照片</x:v>
      </x:c>
    </x:row>
    <x:row r="7" ht="24" customHeight="1">
      <x:c r="A7" s="41" t="str">
        <x:v>M3</x:v>
      </x:c>
      <x:c r="B7" s="42" t="str">
        <x:v>貨架主要區域安裝完成</x:v>
      </x:c>
      <x:c r="C7" s="42" t="str">
        <x:v>區域貨架、軌道、拉桿與鎖固完成</x:v>
      </x:c>
      <x:c r="D7" s="42" t="str">
        <x:v>M2</x:v>
      </x:c>
      <x:c r="E7" s="104"/>
      <x:c r="F7" s="96"/>
      <x:c r="G7" s="107" t="str">
        <x:f>IF(OR(E7="",F7=""),"",F7-E7)</x:f>
      </x:c>
      <x:c r="H7" s="42" t="str">
        <x:v>工程／供應商</x:v>
      </x:c>
      <x:c r="I7" s="42" t="str">
        <x:v>待補驗收日</x:v>
      </x:c>
      <x:c r="J7" s="43" t="str">
        <x:v>區域出工紀錄</x:v>
      </x:c>
    </x:row>
    <x:row r="8" ht="24" customHeight="1">
      <x:c r="A8" s="41" t="str">
        <x:v>M4</x:v>
      </x:c>
      <x:c r="B8" s="42" t="str">
        <x:v>調整與安全配件完成</x:v>
      </x:c>
      <x:c r="C8" s="42" t="str">
        <x:v>垂直、水平、安全門、安全網完成並可複查</x:v>
      </x:c>
      <x:c r="D8" s="42" t="str">
        <x:v>M3</x:v>
      </x:c>
      <x:c r="E8" s="104"/>
      <x:c r="F8" s="96" t="n">
        <x:v>46163</x:v>
      </x:c>
      <x:c r="G8" s="107" t="str">
        <x:f>IF(OR(E8="",F8=""),"",F8-E8)</x:f>
      </x:c>
      <x:c r="H8" s="42" t="str">
        <x:v>工程／品質</x:v>
      </x:c>
      <x:c r="I8" s="42" t="str">
        <x:v>有實績</x:v>
      </x:c>
      <x:c r="J8" s="43" t="str">
        <x:v>施工與巡查紀錄</x:v>
      </x:c>
    </x:row>
    <x:row r="9" ht="24" customHeight="1">
      <x:c r="A9" s="44" t="str">
        <x:v>M5</x:v>
      </x:c>
      <x:c r="B9" s="45" t="str">
        <x:v>測試／缺失關閉／移交</x:v>
      </x:c>
      <x:c r="C9" s="45" t="str">
        <x:v>測試通過、Punch List 關閉、文件移交與簽認</x:v>
      </x:c>
      <x:c r="D9" s="45" t="str">
        <x:v>M4</x:v>
      </x:c>
      <x:c r="E9" s="105"/>
      <x:c r="F9" s="97"/>
      <x:c r="G9" s="108" t="str">
        <x:f>IF(OR(E9="",F9=""),"",F9-E9)</x:f>
      </x:c>
      <x:c r="H9" s="45" t="str">
        <x:v>PM／工程／業主</x:v>
      </x:c>
      <x:c r="I9" s="45" t="str">
        <x:v>待補正式簽認</x:v>
      </x:c>
      <x:c r="J9" s="46" t="str">
        <x:v>驗收／移交文件</x:v>
      </x:c>
    </x:row>
    <x:row r="11" ht="34" customHeight="1">
      <x:c r="A11" s="89" t="str">
        <x:v>Evidence boundary｜Milestone 的完成定義可以證明交付治理邏輯；但 Baseline、正式驗收日與簽認文件必須由本人提供，否則不應宣稱有完整基準差異管理。 </x:v>
      </x:c>
      <x:c r="B11" s="90" t="str">
        <x:v>Evidence boundary｜Milestone 的完成定義可以證明交付治理邏輯；但 Baseline、正式驗收日與簽認文件必須由本人提供，否則不應宣稱有完整基準差異管理。 </x:v>
      </x:c>
      <x:c r="C11" s="90" t="str">
        <x:v>Evidence boundary｜Milestone 的完成定義可以證明交付治理邏輯；但 Baseline、正式驗收日與簽認文件必須由本人提供，否則不應宣稱有完整基準差異管理。 </x:v>
      </x:c>
      <x:c r="D11" s="90" t="str">
        <x:v>Evidence boundary｜Milestone 的完成定義可以證明交付治理邏輯；但 Baseline、正式驗收日與簽認文件必須由本人提供，否則不應宣稱有完整基準差異管理。 </x:v>
      </x:c>
      <x:c r="E11" s="90" t="str">
        <x:v>Evidence boundary｜Milestone 的完成定義可以證明交付治理邏輯；但 Baseline、正式驗收日與簽認文件必須由本人提供，否則不應宣稱有完整基準差異管理。 </x:v>
      </x:c>
      <x:c r="F11" s="90" t="str">
        <x:v>Evidence boundary｜Milestone 的完成定義可以證明交付治理邏輯；但 Baseline、正式驗收日與簽認文件必須由本人提供，否則不應宣稱有完整基準差異管理。 </x:v>
      </x:c>
      <x:c r="G11" s="90" t="str">
        <x:v>Evidence boundary｜Milestone 的完成定義可以證明交付治理邏輯；但 Baseline、正式驗收日與簽認文件必須由本人提供，否則不應宣稱有完整基準差異管理。 </x:v>
      </x:c>
      <x:c r="H11" s="90" t="str">
        <x:v>Evidence boundary｜Milestone 的完成定義可以證明交付治理邏輯；但 Baseline、正式驗收日與簽認文件必須由本人提供，否則不應宣稱有完整基準差異管理。 </x:v>
      </x:c>
      <x:c r="I11" s="90" t="str">
        <x:v>Evidence boundary｜Milestone 的完成定義可以證明交付治理邏輯；但 Baseline、正式驗收日與簽認文件必須由本人提供，否則不應宣稱有完整基準差異管理。 </x:v>
      </x:c>
      <x:c r="J11" s="91" t="str">
        <x:v>Evidence boundary｜Milestone 的完成定義可以證明交付治理邏輯；但 Baseline、正式驗收日與簽認文件必須由本人提供，否則不應宣稱有完整基準差異管理。 </x:v>
      </x:c>
    </x:row>
    <x:row r="12" ht="34" customHeight="1">
      <x:c r="A12" s="92" t="str">
        <x:v>Evidence boundary｜Milestone 的完成定義可以證明交付治理邏輯；但 Baseline、正式驗收日與簽認文件必須由本人提供，否則不應宣稱有完整基準差異管理。 </x:v>
      </x:c>
      <x:c r="B12" s="93" t="str">
        <x:v>Evidence boundary｜Milestone 的完成定義可以證明交付治理邏輯；但 Baseline、正式驗收日與簽認文件必須由本人提供，否則不應宣稱有完整基準差異管理。 </x:v>
      </x:c>
      <x:c r="C12" s="93" t="str">
        <x:v>Evidence boundary｜Milestone 的完成定義可以證明交付治理邏輯；但 Baseline、正式驗收日與簽認文件必須由本人提供，否則不應宣稱有完整基準差異管理。 </x:v>
      </x:c>
      <x:c r="D12" s="93" t="str">
        <x:v>Evidence boundary｜Milestone 的完成定義可以證明交付治理邏輯；但 Baseline、正式驗收日與簽認文件必須由本人提供，否則不應宣稱有完整基準差異管理。 </x:v>
      </x:c>
      <x:c r="E12" s="93" t="str">
        <x:v>Evidence boundary｜Milestone 的完成定義可以證明交付治理邏輯；但 Baseline、正式驗收日與簽認文件必須由本人提供，否則不應宣稱有完整基準差異管理。 </x:v>
      </x:c>
      <x:c r="F12" s="93" t="str">
        <x:v>Evidence boundary｜Milestone 的完成定義可以證明交付治理邏輯；但 Baseline、正式驗收日與簽認文件必須由本人提供，否則不應宣稱有完整基準差異管理。 </x:v>
      </x:c>
      <x:c r="G12" s="93" t="str">
        <x:v>Evidence boundary｜Milestone 的完成定義可以證明交付治理邏輯；但 Baseline、正式驗收日與簽認文件必須由本人提供，否則不應宣稱有完整基準差異管理。 </x:v>
      </x:c>
      <x:c r="H12" s="93" t="str">
        <x:v>Evidence boundary｜Milestone 的完成定義可以證明交付治理邏輯；但 Baseline、正式驗收日與簽認文件必須由本人提供，否則不應宣稱有完整基準差異管理。 </x:v>
      </x:c>
      <x:c r="I12" s="93" t="str">
        <x:v>Evidence boundary｜Milestone 的完成定義可以證明交付治理邏輯；但 Baseline、正式驗收日與簽認文件必須由本人提供，否則不應宣稱有完整基準差異管理。 </x:v>
      </x:c>
      <x:c r="J12" s="94" t="str">
        <x:v>Evidence boundary｜Milestone 的完成定義可以證明交付治理邏輯；但 Baseline、正式驗收日與簽認文件必須由本人提供，否則不應宣稱有完整基準差異管理。 </x:v>
      </x:c>
    </x:row>
  </x:sheetData>
  <x:mergeCells>
    <x:mergeCell ref="A1:J1"/>
    <x:mergeCell ref="A2:J2"/>
    <x:mergeCell ref="A11:J12"/>
  </x:mergeCells>
  <x:conditionalFormatting sqref="I5:I9">
    <x:cfRule type="containsText" dxfId="0" priority="1" operator="containsText" text="完成"/>
    <x:cfRule type="containsText" dxfId="1" priority="2" operator="containsText" text="進行"/>
    <x:cfRule type="containsText" dxfId="2" priority="3" operator="containsText" text="待補"/>
    <x:cfRule type="containsText" dxfId="3" priority="4" operator="containsText" text="逾期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6.670000076293945" hidden="0" customWidth="1"/>
    <x:col min="3" max="3" width="10" hidden="0" customWidth="1"/>
    <x:col min="4" max="4" width="13.329999923706055" hidden="0" customWidth="1"/>
    <x:col min="5" max="5" width="26.110000610351562" hidden="0" customWidth="1"/>
    <x:col min="6" max="6" width="21.110000610351562" hidden="0" customWidth="1"/>
    <x:col min="7" max="7" width="7.21999979019165" hidden="0" customWidth="1"/>
    <x:col min="8" max="8" width="7.21999979019165" hidden="0" customWidth="1"/>
    <x:col min="9" max="9" width="6.670000076293945" hidden="0" customWidth="1"/>
    <x:col min="10" max="10" width="27.780000686645508" hidden="0" customWidth="1"/>
    <x:col min="11" max="11" width="12.220000267028809" hidden="0" customWidth="1"/>
    <x:col min="12" max="12" width="10" hidden="0" customWidth="1"/>
    <x:col min="13" max="13" width="12.220000267028809" hidden="0" customWidth="1"/>
  </x:cols>
  <x:sheetData>
    <x:row r="1" ht="32" customHeight="1">
      <x:c r="A1" s="3" t="str">
        <x:v>Risk Register／Issue Log／Action Item Tracker</x:v>
      </x:c>
    </x:row>
    <x:row r="2" ht="25" customHeight="1">
      <x:c r="A2" s="7" t="str">
        <x:v>以現場紀錄中可確認的異常與投入風險重建；未確認的決議以待補標示。</x:v>
      </x:c>
    </x:row>
    <x:row r="4" ht="25" customHeight="1">
      <x:c r="A4" s="16" t="str">
        <x:v>Type</x:v>
      </x:c>
      <x:c r="B4" s="17" t="str">
        <x:v>ID</x:v>
      </x:c>
      <x:c r="C4" s="17" t="str">
        <x:v>日期</x:v>
      </x:c>
      <x:c r="D4" s="17" t="str">
        <x:v>工作包</x:v>
      </x:c>
      <x:c r="E4" s="17" t="str">
        <x:v>事件／風險</x:v>
      </x:c>
      <x:c r="F4" s="17" t="str">
        <x:v>影響</x:v>
      </x:c>
      <x:c r="G4" s="17" t="str">
        <x:v>可能性</x:v>
      </x:c>
      <x:c r="H4" s="17" t="str">
        <x:v>影響度</x:v>
      </x:c>
      <x:c r="I4" s="17" t="str">
        <x:v>分數</x:v>
      </x:c>
      <x:c r="J4" s="17" t="str">
        <x:v>判斷／處理原則</x:v>
      </x:c>
      <x:c r="K4" s="17" t="str">
        <x:v>Owner</x:v>
      </x:c>
      <x:c r="L4" s="17" t="str">
        <x:v>期限</x:v>
      </x:c>
      <x:c r="M4" s="18" t="str">
        <x:v>狀態</x:v>
      </x:c>
    </x:row>
    <x:row r="5" ht="24" customHeight="1">
      <x:c r="A5" s="38" t="str">
        <x:v>Issue</x:v>
      </x:c>
      <x:c r="B5" s="39" t="str">
        <x:v>I-001</x:v>
      </x:c>
      <x:c r="C5" s="95" t="n">
        <x:v>46099</x:v>
      </x:c>
      <x:c r="D5" s="39" t="str">
        <x:v>鑽孔／植栓</x:v>
      </x:c>
      <x:c r="E5" s="39" t="str">
        <x:v>鑽孔遇鋼筋、貫穿樓板及管線異常紀錄</x:v>
      </x:c>
      <x:c r="F5" s="39" t="str">
        <x:v>返工、材料補作與安全風險</x:v>
      </x:c>
      <x:c r="G5" s="39" t="n">
        <x:v>5</x:v>
      </x:c>
      <x:c r="H5" s="39" t="n">
        <x:v>5</x:v>
      </x:c>
      <x:c r="I5" s="39" t="n">
        <x:f>IF(OR(G5="",H5=""),"",G5*H5)</x:f>
        <x:v>25</x:v>
      </x:c>
      <x:c r="J5" s="39" t="str">
        <x:v>異常分類、停止受影響點位、確認責任與處置證據</x:v>
      </x:c>
      <x:c r="K5" s="39" t="str">
        <x:v>工程／現場</x:v>
      </x:c>
      <x:c r="L5" s="95"/>
      <x:c r="M5" s="40" t="str">
        <x:v>待補關閉證據</x:v>
      </x:c>
    </x:row>
    <x:row r="6" ht="24" customHeight="1">
      <x:c r="A6" s="41" t="str">
        <x:v>Issue</x:v>
      </x:c>
      <x:c r="B6" s="42" t="str">
        <x:v>I-002</x:v>
      </x:c>
      <x:c r="C6" s="96" t="n">
        <x:v>46103</x:v>
      </x:c>
      <x:c r="D6" s="42" t="str">
        <x:v>鋼平台樑安裝</x:v>
      </x:c>
      <x:c r="E6" s="42" t="str">
        <x:v>現場停電影響上午工序</x:v>
      </x:c>
      <x:c r="F6" s="42" t="str">
        <x:v>當日產出與後續排序受影響</x:v>
      </x:c>
      <x:c r="G6" s="42" t="n">
        <x:v>3</x:v>
      </x:c>
      <x:c r="H6" s="42" t="n">
        <x:v>3</x:v>
      </x:c>
      <x:c r="I6" s="42" t="n">
        <x:f>IF(OR(G6="",H6=""),"",G6*H6)</x:f>
        <x:v>9</x:v>
      </x:c>
      <x:c r="J6" s="42" t="str">
        <x:v>確認可替代工序與下午恢復安排</x:v>
      </x:c>
      <x:c r="K6" s="42" t="str">
        <x:v>PM／現場</x:v>
      </x:c>
      <x:c r="L6" s="96" t="n">
        <x:v>46103</x:v>
      </x:c>
      <x:c r="M6" s="43" t="str">
        <x:v>已記錄</x:v>
      </x:c>
    </x:row>
    <x:row r="7" ht="24" customHeight="1">
      <x:c r="A7" s="41" t="str">
        <x:v>Risk</x:v>
      </x:c>
      <x:c r="B7" s="42" t="str">
        <x:v>R-001</x:v>
      </x:c>
      <x:c r="C7" s="96" t="n">
        <x:v>46113</x:v>
      </x:c>
      <x:c r="D7" s="42" t="str">
        <x:v>多區域施工</x:v>
      </x:c>
      <x:c r="E7" s="42" t="str">
        <x:v>加班人時集中，需確認投入是否轉為有效產出</x:v>
      </x:c>
      <x:c r="F7" s="42" t="str">
        <x:v>成本、疲勞與品質風險</x:v>
      </x:c>
      <x:c r="G7" s="42" t="n">
        <x:v>4</x:v>
      </x:c>
      <x:c r="H7" s="42" t="n">
        <x:v>4</x:v>
      </x:c>
      <x:c r="I7" s="42" t="n">
        <x:f>IF(OR(G7="",H7=""),"",G7*H7)</x:f>
        <x:v>16</x:v>
      </x:c>
      <x:c r="J7" s="42" t="str">
        <x:v>加班工時必須對照完成工項、區域與 Recovery Plan</x:v>
      </x:c>
      <x:c r="K7" s="42" t="str">
        <x:v>PM／供應商</x:v>
      </x:c>
      <x:c r="L7" s="96"/>
      <x:c r="M7" s="43" t="str">
        <x:v>持續監控</x:v>
      </x:c>
    </x:row>
    <x:row r="8" ht="24" customHeight="1">
      <x:c r="A8" s="41" t="str">
        <x:v>Risk</x:v>
      </x:c>
      <x:c r="B8" s="42" t="str">
        <x:v>R-002</x:v>
      </x:c>
      <x:c r="C8" s="96" t="n">
        <x:v>46113</x:v>
      </x:c>
      <x:c r="D8" s="42" t="str">
        <x:v>機具／施工面</x:v>
      </x:c>
      <x:c r="E8" s="42" t="str">
        <x:v>機具規格、淨高與可用施工面若未先確認，可能無法履約</x:v>
      </x:c>
      <x:c r="F8" s="42" t="str">
        <x:v>交期、待機費與二次進場</x:v>
      </x:c>
      <x:c r="G8" s="42" t="n">
        <x:v>3</x:v>
      </x:c>
      <x:c r="H8" s="42" t="n">
        <x:v>5</x:v>
      </x:c>
      <x:c r="I8" s="42" t="n">
        <x:f>IF(OR(G8="",H8=""),"",G8*H8)</x:f>
        <x:v>15</x:v>
      </x:c>
      <x:c r="J8" s="42" t="str">
        <x:v>RFQ 前置核對載重、淨高、吊點、窗口與費用歸屬</x:v>
      </x:c>
      <x:c r="K8" s="42" t="str">
        <x:v>工程／採購</x:v>
      </x:c>
      <x:c r="L8" s="96"/>
      <x:c r="M8" s="43" t="str">
        <x:v>待補原始事件</x:v>
      </x:c>
    </x:row>
    <x:row r="9" ht="24" customHeight="1">
      <x:c r="A9" s="41" t="str">
        <x:v>Action</x:v>
      </x:c>
      <x:c r="B9" s="42" t="str">
        <x:v>A-001</x:v>
      </x:c>
      <x:c r="C9" s="96" t="n">
        <x:v>46099</x:v>
      </x:c>
      <x:c r="D9" s="42" t="str">
        <x:v>鑽孔／植栓</x:v>
      </x:c>
      <x:c r="E9" s="42" t="str">
        <x:v>彙整異常點位、照片、數量與處置結果</x:v>
      </x:c>
      <x:c r="F9" s="42" t="str">
        <x:v>形成可追溯關閉依據</x:v>
      </x:c>
      <x:c r="G9" s="42"/>
      <x:c r="H9" s="42"/>
      <x:c r="I9" s="42"/>
      <x:c r="J9" s="42" t="str">
        <x:v>以照片索引＋點位＋責任＋完成證明關閉</x:v>
      </x:c>
      <x:c r="K9" s="42" t="str">
        <x:v>現場</x:v>
      </x:c>
      <x:c r="L9" s="96"/>
      <x:c r="M9" s="43" t="str">
        <x:v>待補完成日</x:v>
      </x:c>
    </x:row>
    <x:row r="10" ht="24" customHeight="1">
      <x:c r="A10" s="44" t="str">
        <x:v>Action</x:v>
      </x:c>
      <x:c r="B10" s="45" t="str">
        <x:v>A-002</x:v>
      </x:c>
      <x:c r="C10" s="97" t="n">
        <x:v>46113</x:v>
      </x:c>
      <x:c r="D10" s="45" t="str">
        <x:v>供應商投入</x:v>
      </x:c>
      <x:c r="E10" s="45" t="str">
        <x:v>每週回顧工數、加班與已完成工項</x:v>
      </x:c>
      <x:c r="F10" s="45" t="str">
        <x:v>辨識低效投入與資源衝突</x:v>
      </x:c>
      <x:c r="G10" s="45"/>
      <x:c r="H10" s="45"/>
      <x:c r="I10" s="45"/>
      <x:c r="J10" s="45" t="str">
        <x:v>Dashboard 只呈現例外；細節可回查原始列</x:v>
      </x:c>
      <x:c r="K10" s="45" t="str">
        <x:v>PM</x:v>
      </x:c>
      <x:c r="L10" s="97"/>
      <x:c r="M10" s="46" t="str">
        <x:v>持續監控</x:v>
      </x:c>
    </x:row>
    <x:row r="12" ht="34" customHeight="1">
      <x:c r="A12" s="89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B12" s="90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C12" s="90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D12" s="90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E12" s="90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F12" s="90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G12" s="90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H12" s="90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I12" s="90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J12" s="90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K12" s="90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L12" s="90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M12" s="91" t="str">
        <x:v>Evidence boundary｜I-001、I-002 與投入數據可由原始紀錄支持；R-002 的技術採購邏輯來自實際工作情境，但若要對外展示為完成案例，仍需補入匿名化事件時間、選項與最終決議。 </x:v>
      </x:c>
    </x:row>
    <x:row r="13" ht="34" customHeight="1">
      <x:c r="A13" s="92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B13" s="93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C13" s="93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D13" s="93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E13" s="93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F13" s="93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G13" s="93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H13" s="93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I13" s="93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J13" s="93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K13" s="93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L13" s="93" t="str">
        <x:v>Evidence boundary｜I-001、I-002 與投入數據可由原始紀錄支持；R-002 的技術採購邏輯來自實際工作情境，但若要對外展示為完成案例，仍需補入匿名化事件時間、選項與最終決議。 </x:v>
      </x:c>
      <x:c r="M13" s="94" t="str">
        <x:v>Evidence boundary｜I-001、I-002 與投入數據可由原始紀錄支持；R-002 的技術採購邏輯來自實際工作情境，但若要對外展示為完成案例，仍需補入匿名化事件時間、選項與最終決議。 </x:v>
      </x:c>
    </x:row>
  </x:sheetData>
  <x:mergeCells>
    <x:mergeCell ref="A1:M1"/>
    <x:mergeCell ref="A2:M2"/>
    <x:mergeCell ref="A12:M13"/>
  </x:mergeCells>
  <x:conditionalFormatting sqref="M5:M10">
    <x:cfRule type="containsText" dxfId="4" priority="1" operator="containsText" text="完成"/>
    <x:cfRule type="containsText" dxfId="5" priority="2" operator="containsText" text="進行"/>
    <x:cfRule type="containsText" dxfId="6" priority="3" operator="containsText" text="待補"/>
    <x:cfRule type="containsText" dxfId="7" priority="4" operator="containsText" text="逾期"/>
  </x:conditionalFormatting>
  <x:dataValidations count="1">
    <x:dataValidation type="whole" operator="between" sqref="G5:H10">
      <x:formula1>1</x:formula1>
      <x:formula2>5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0.5600004196167" hidden="0" customWidth="1"/>
    <x:col min="3" max="3" width="9.4399995803833" hidden="0" customWidth="1"/>
    <x:col min="4" max="4" width="9.4399995803833" hidden="0" customWidth="1"/>
    <x:col min="5" max="5" width="9.4399995803833" hidden="0" customWidth="1"/>
    <x:col min="6" max="6" width="9.4399995803833" hidden="0" customWidth="1"/>
    <x:col min="7" max="7" width="9.4399995803833" hidden="0" customWidth="1"/>
    <x:col min="8" max="8" width="9.4399995803833" hidden="0" customWidth="1"/>
    <x:col min="9" max="9" width="23.329999923706055" hidden="0" customWidth="1"/>
    <x:col min="10" max="10" width="11.109999656677246" hidden="0" customWidth="1"/>
    <x:col min="11" max="11" width="11.670000076293945" hidden="0" customWidth="1"/>
    <x:col min="12" max="12" width="20" hidden="0" customWidth="1"/>
  </x:cols>
  <x:sheetData>
    <x:row r="1" ht="32" customHeight="1">
      <x:c r="A1" s="3" t="str">
        <x:v>RFQ Comparison／Supplier Selection Matrix</x:v>
      </x:c>
    </x:row>
    <x:row r="2" ht="25" customHeight="1">
      <x:c r="A2" s="7" t="str">
        <x:v>結構依實際詢比議價工作邏輯重建；供應商代號、價格與分數不可由系統推測，黃色欄位需本人補入匿名化真實內容。</x:v>
      </x:c>
    </x:row>
    <x:row r="4" ht="24" customHeight="1">
      <x:c r="A4" s="68" t="str">
        <x:v>A. RFQ Scope Alignment｜先拉齊比較基準</x:v>
      </x:c>
      <x:c r="B4" s="68" t="str">
        <x:v>A. RFQ Scope Alignment｜先拉齊比較基準</x:v>
      </x:c>
      <x:c r="C4" s="68" t="str">
        <x:v>A. RFQ Scope Alignment｜先拉齊比較基準</x:v>
      </x:c>
      <x:c r="D4" s="68" t="str">
        <x:v>A. RFQ Scope Alignment｜先拉齊比較基準</x:v>
      </x:c>
      <x:c r="E4" s="68" t="str">
        <x:v>A. RFQ Scope Alignment｜先拉齊比較基準</x:v>
      </x:c>
      <x:c r="F4" s="68" t="str">
        <x:v>A. RFQ Scope Alignment｜先拉齊比較基準</x:v>
      </x:c>
      <x:c r="G4" s="68" t="str">
        <x:v>A. RFQ Scope Alignment｜先拉齊比較基準</x:v>
      </x:c>
      <x:c r="H4" s="68" t="str">
        <x:v>A. RFQ Scope Alignment｜先拉齊比較基準</x:v>
      </x:c>
      <x:c r="I4" s="68" t="str">
        <x:v>A. RFQ Scope Alignment｜先拉齊比較基準</x:v>
      </x:c>
      <x:c r="J4" s="68" t="str">
        <x:v>A. RFQ Scope Alignment｜先拉齊比較基準</x:v>
      </x:c>
      <x:c r="K4" s="68" t="str">
        <x:v>A. RFQ Scope Alignment｜先拉齊比較基準</x:v>
      </x:c>
      <x:c r="L4" s="68" t="str">
        <x:v>A. RFQ Scope Alignment｜先拉齊比較基準</x:v>
      </x:c>
    </x:row>
    <x:row r="5" ht="25" customHeight="1">
      <x:c r="A5" s="16" t="str">
        <x:v>比較項</x:v>
      </x:c>
      <x:c r="B5" s="17" t="str">
        <x:v>需求基準</x:v>
      </x:c>
      <x:c r="C5" s="17" t="str">
        <x:v>Supplier A</x:v>
      </x:c>
      <x:c r="D5" s="17" t="str">
        <x:v>Supplier B</x:v>
      </x:c>
      <x:c r="E5" s="17" t="str">
        <x:v>Supplier C</x:v>
      </x:c>
      <x:c r="F5" s="17" t="str">
        <x:v>澄清問題</x:v>
      </x:c>
      <x:c r="G5" s="17" t="str">
        <x:v>風險</x:v>
      </x:c>
      <x:c r="H5" s="17" t="str">
        <x:v>Decision</x:v>
      </x:c>
      <x:c r="I5" s="17" t="str">
        <x:v>Owner</x:v>
      </x:c>
      <x:c r="J5" s="17" t="str">
        <x:v>期限</x:v>
      </x:c>
      <x:c r="K5" s="17" t="str">
        <x:v>狀態</x:v>
      </x:c>
      <x:c r="L5" s="18" t="str">
        <x:v>證據</x:v>
      </x:c>
    </x:row>
    <x:row r="6" ht="24" customHeight="1">
      <x:c r="A6" s="38" t="str">
        <x:v>材料／規格</x:v>
      </x:c>
      <x:c r="B6" s="39" t="str">
        <x:v>依圖面與核准規格</x:v>
      </x:c>
      <x:c r="C6" s="103" t="str">
        <x:v>待補</x:v>
      </x:c>
      <x:c r="D6" s="103" t="str">
        <x:v>待補</x:v>
      </x:c>
      <x:c r="E6" s="103" t="str">
        <x:v>待補</x:v>
      </x:c>
      <x:c r="F6" s="39" t="str">
        <x:v>材質、表面處理、替代方案是否一致</x:v>
      </x:c>
      <x:c r="G6" s="39" t="str">
        <x:v>規格不一致造成假性低價</x:v>
      </x:c>
      <x:c r="H6" s="39" t="str">
        <x:v>未決</x:v>
      </x:c>
      <x:c r="I6" s="39" t="str">
        <x:v>採購／工程</x:v>
      </x:c>
      <x:c r="J6" s="95"/>
      <x:c r="K6" s="39" t="str">
        <x:v>待補</x:v>
      </x:c>
      <x:c r="L6" s="40" t="str">
        <x:v>原始 RFQ／報價</x:v>
      </x:c>
    </x:row>
    <x:row r="7" ht="24" customHeight="1">
      <x:c r="A7" s="41" t="str">
        <x:v>製作／安裝範圍</x:v>
      </x:c>
      <x:c r="B7" s="42" t="str">
        <x:v>含製作、運輸、安裝與測試</x:v>
      </x:c>
      <x:c r="C7" s="104" t="str">
        <x:v>待補</x:v>
      </x:c>
      <x:c r="D7" s="104" t="str">
        <x:v>待補</x:v>
      </x:c>
      <x:c r="E7" s="104" t="str">
        <x:v>待補</x:v>
      </x:c>
      <x:c r="F7" s="42" t="str">
        <x:v>排除項、臨時工程、機具與夜間工資</x:v>
      </x:c>
      <x:c r="G7" s="42" t="str">
        <x:v>範圍缺漏、追加成本</x:v>
      </x:c>
      <x:c r="H7" s="42" t="str">
        <x:v>未決</x:v>
      </x:c>
      <x:c r="I7" s="42" t="str">
        <x:v>採購／PM</x:v>
      </x:c>
      <x:c r="J7" s="96"/>
      <x:c r="K7" s="42" t="str">
        <x:v>待補</x:v>
      </x:c>
      <x:c r="L7" s="43" t="str">
        <x:v>Scope matrix</x:v>
      </x:c>
    </x:row>
    <x:row r="8" ht="24" customHeight="1">
      <x:c r="A8" s="41" t="str">
        <x:v>交期／產能</x:v>
      </x:c>
      <x:c r="B8" s="42" t="str">
        <x:v>符合專案窗口與分批到貨</x:v>
      </x:c>
      <x:c r="C8" s="104" t="str">
        <x:v>待補</x:v>
      </x:c>
      <x:c r="D8" s="104" t="str">
        <x:v>待補</x:v>
      </x:c>
      <x:c r="E8" s="104" t="str">
        <x:v>待補</x:v>
      </x:c>
      <x:c r="F8" s="42" t="str">
        <x:v>產能承諾、關鍵材料與恢復方案</x:v>
      </x:c>
      <x:c r="G8" s="42" t="str">
        <x:v>延誤與施工面衝突</x:v>
      </x:c>
      <x:c r="H8" s="42" t="str">
        <x:v>未決</x:v>
      </x:c>
      <x:c r="I8" s="42" t="str">
        <x:v>採購／供應商</x:v>
      </x:c>
      <x:c r="J8" s="96"/>
      <x:c r="K8" s="42" t="str">
        <x:v>待補</x:v>
      </x:c>
      <x:c r="L8" s="43" t="str">
        <x:v>產能／交期承諾</x:v>
      </x:c>
    </x:row>
    <x:row r="9" ht="24" customHeight="1">
      <x:c r="A9" s="44" t="str">
        <x:v>商務條件</x:v>
      </x:c>
      <x:c r="B9" s="45" t="str">
        <x:v>稅別、付款、保固、保留款與變更</x:v>
      </x:c>
      <x:c r="C9" s="105" t="str">
        <x:v>待補</x:v>
      </x:c>
      <x:c r="D9" s="105" t="str">
        <x:v>待補</x:v>
      </x:c>
      <x:c r="E9" s="105" t="str">
        <x:v>待補</x:v>
      </x:c>
      <x:c r="F9" s="45" t="str">
        <x:v>付款節點、保固起算、違約與變更責任</x:v>
      </x:c>
      <x:c r="G9" s="45" t="str">
        <x:v>現金流與履約風險</x:v>
      </x:c>
      <x:c r="H9" s="45" t="str">
        <x:v>未決</x:v>
      </x:c>
      <x:c r="I9" s="45" t="str">
        <x:v>採購／財務</x:v>
      </x:c>
      <x:c r="J9" s="97"/>
      <x:c r="K9" s="45" t="str">
        <x:v>待補</x:v>
      </x:c>
      <x:c r="L9" s="46" t="str">
        <x:v>報價／合約</x:v>
      </x:c>
    </x:row>
    <x:row r="11" ht="24" customHeight="1">
      <x:c r="A11" s="68" t="str">
        <x:v>B. Weighted Selection｜有證據才評分</x:v>
      </x:c>
      <x:c r="B11" s="68" t="str">
        <x:v>B. Weighted Selection｜有證據才評分</x:v>
      </x:c>
      <x:c r="C11" s="68" t="str">
        <x:v>B. Weighted Selection｜有證據才評分</x:v>
      </x:c>
      <x:c r="D11" s="68" t="str">
        <x:v>B. Weighted Selection｜有證據才評分</x:v>
      </x:c>
      <x:c r="E11" s="68" t="str">
        <x:v>B. Weighted Selection｜有證據才評分</x:v>
      </x:c>
      <x:c r="F11" s="68" t="str">
        <x:v>B. Weighted Selection｜有證據才評分</x:v>
      </x:c>
      <x:c r="G11" s="68" t="str">
        <x:v>B. Weighted Selection｜有證據才評分</x:v>
      </x:c>
      <x:c r="H11" s="68" t="str">
        <x:v>B. Weighted Selection｜有證據才評分</x:v>
      </x:c>
      <x:c r="I11" s="68" t="str">
        <x:v>B. Weighted Selection｜有證據才評分</x:v>
      </x:c>
      <x:c r="J11" s="68" t="str">
        <x:v>B. Weighted Selection｜有證據才評分</x:v>
      </x:c>
      <x:c r="K11" s="68" t="str">
        <x:v>B. Weighted Selection｜有證據才評分</x:v>
      </x:c>
      <x:c r="L11" s="68" t="str">
        <x:v>B. Weighted Selection｜有證據才評分</x:v>
      </x:c>
    </x:row>
    <x:row r="12" ht="25" customHeight="1">
      <x:c r="A12" s="16" t="str">
        <x:v>Criteria</x:v>
      </x:c>
      <x:c r="B12" s="17" t="str">
        <x:v>Weight</x:v>
      </x:c>
      <x:c r="C12" s="17" t="str">
        <x:v>A Score</x:v>
      </x:c>
      <x:c r="D12" s="17" t="str">
        <x:v>A Weighted</x:v>
      </x:c>
      <x:c r="E12" s="17" t="str">
        <x:v>B Score</x:v>
      </x:c>
      <x:c r="F12" s="17" t="str">
        <x:v>B Weighted</x:v>
      </x:c>
      <x:c r="G12" s="17" t="str">
        <x:v>C Score</x:v>
      </x:c>
      <x:c r="H12" s="17" t="str">
        <x:v>C Weighted</x:v>
      </x:c>
      <x:c r="I12" s="17" t="str">
        <x:v>評分證據</x:v>
      </x:c>
      <x:c r="J12" s="17" t="str">
        <x:v>最低門檻</x:v>
      </x:c>
      <x:c r="K12" s="17" t="str">
        <x:v>建議</x:v>
      </x:c>
      <x:c r="L12" s="18" t="str">
        <x:v>備註</x:v>
      </x:c>
    </x:row>
    <x:row r="13" ht="24" customHeight="1">
      <x:c r="A13" s="38" t="str">
        <x:v>總成本／商務</x:v>
      </x:c>
      <x:c r="B13" s="109" t="n">
        <x:v>0.3</x:v>
      </x:c>
      <x:c r="C13" s="103"/>
      <x:c r="D13" s="39" t="str">
        <x:f>IF(C13="","",B13*C13)</x:f>
      </x:c>
      <x:c r="E13" s="103"/>
      <x:c r="F13" s="39" t="str">
        <x:f>IF(E13="","",B13*E13)</x:f>
      </x:c>
      <x:c r="G13" s="103"/>
      <x:c r="H13" s="39" t="str">
        <x:f>IF(G13="","",B13*G13)</x:f>
      </x:c>
      <x:c r="I13" s="39"/>
      <x:c r="J13" s="39"/>
      <x:c r="K13" s="39"/>
      <x:c r="L13" s="40"/>
    </x:row>
    <x:row r="14" ht="24" customHeight="1">
      <x:c r="A14" s="41" t="str">
        <x:v>技術／品質</x:v>
      </x:c>
      <x:c r="B14" s="110" t="n">
        <x:v>0.25</x:v>
      </x:c>
      <x:c r="C14" s="104"/>
      <x:c r="D14" s="42" t="str">
        <x:f>IF(C14="","",B14*C14)</x:f>
      </x:c>
      <x:c r="E14" s="104"/>
      <x:c r="F14" s="42" t="str">
        <x:f>IF(E14="","",B14*E14)</x:f>
      </x:c>
      <x:c r="G14" s="104"/>
      <x:c r="H14" s="42" t="str">
        <x:f>IF(G14="","",B14*G14)</x:f>
      </x:c>
      <x:c r="I14" s="42"/>
      <x:c r="J14" s="42"/>
      <x:c r="K14" s="42"/>
      <x:c r="L14" s="43"/>
    </x:row>
    <x:row r="15" ht="24" customHeight="1">
      <x:c r="A15" s="41" t="str">
        <x:v>交期／產能</x:v>
      </x:c>
      <x:c r="B15" s="110" t="n">
        <x:v>0.2</x:v>
      </x:c>
      <x:c r="C15" s="104"/>
      <x:c r="D15" s="42" t="str">
        <x:f>IF(C15="","",B15*C15)</x:f>
      </x:c>
      <x:c r="E15" s="104"/>
      <x:c r="F15" s="42" t="str">
        <x:f>IF(E15="","",B15*E15)</x:f>
      </x:c>
      <x:c r="G15" s="104"/>
      <x:c r="H15" s="42" t="str">
        <x:f>IF(G15="","",B15*G15)</x:f>
      </x:c>
      <x:c r="I15" s="42"/>
      <x:c r="J15" s="42"/>
      <x:c r="K15" s="42"/>
      <x:c r="L15" s="43"/>
    </x:row>
    <x:row r="16" ht="24" customHeight="1">
      <x:c r="A16" s="41" t="str">
        <x:v>履約／風險</x:v>
      </x:c>
      <x:c r="B16" s="110" t="n">
        <x:v>0.15</x:v>
      </x:c>
      <x:c r="C16" s="104"/>
      <x:c r="D16" s="42" t="str">
        <x:f>IF(C16="","",B16*C16)</x:f>
      </x:c>
      <x:c r="E16" s="104"/>
      <x:c r="F16" s="42" t="str">
        <x:f>IF(E16="","",B16*E16)</x:f>
      </x:c>
      <x:c r="G16" s="104"/>
      <x:c r="H16" s="42" t="str">
        <x:f>IF(G16="","",B16*G16)</x:f>
      </x:c>
      <x:c r="I16" s="42"/>
      <x:c r="J16" s="42"/>
      <x:c r="K16" s="42"/>
      <x:c r="L16" s="43"/>
    </x:row>
    <x:row r="17" ht="24" customHeight="1">
      <x:c r="A17" s="44" t="str">
        <x:v>協作／回應</x:v>
      </x:c>
      <x:c r="B17" s="111" t="n">
        <x:v>0.1</x:v>
      </x:c>
      <x:c r="C17" s="105"/>
      <x:c r="D17" s="45" t="str">
        <x:f>IF(C17="","",B17*C17)</x:f>
      </x:c>
      <x:c r="E17" s="105"/>
      <x:c r="F17" s="45" t="str">
        <x:f>IF(E17="","",B17*E17)</x:f>
      </x:c>
      <x:c r="G17" s="105"/>
      <x:c r="H17" s="45" t="str">
        <x:f>IF(G17="","",B17*G17)</x:f>
      </x:c>
      <x:c r="I17" s="45"/>
      <x:c r="J17" s="45"/>
      <x:c r="K17" s="45"/>
      <x:c r="L17" s="46"/>
    </x:row>
    <x:row r="18">
      <x:c r="A18" s="114" t="str">
        <x:v>TOTAL</x:v>
      </x:c>
      <x:c r="B18" s="115" t="n">
        <x:v>1</x:v>
      </x:c>
      <x:c r="C18" s="115"/>
      <x:c r="D18" s="115" t="str">
        <x:f>IF(COUNT(C13:C17)=5,SUM(D13:D17),"")</x:f>
      </x:c>
      <x:c r="E18" s="115"/>
      <x:c r="F18" s="115" t="str">
        <x:f>IF(COUNT(E13:E17)=5,SUM(F13:F17),"")</x:f>
      </x:c>
      <x:c r="G18" s="115"/>
      <x:c r="H18" s="115" t="str">
        <x:f>IF(COUNT(G13:G17)=5,SUM(H13:H17),"")</x:f>
      </x:c>
      <x:c r="I18" s="115" t="str">
        <x:v>需連回 RFQ、產能承諾、品質紀錄與風險</x:v>
      </x:c>
      <x:c r="J18" s="115" t="n">
        <x:v>70</x:v>
      </x:c>
      <x:c r="K18" s="115" t="str">
        <x:v>未產生建議</x:v>
      </x:c>
      <x:c r="L18" s="116" t="str">
        <x:v>未補真實評分前不選商</x:v>
      </x:c>
    </x:row>
  </x:sheetData>
  <x:mergeCells>
    <x:mergeCell ref="A1:L1"/>
    <x:mergeCell ref="A2:L2"/>
    <x:mergeCell ref="A4:L4"/>
    <x:mergeCell ref="A11:L11"/>
  </x:mergeCells>
  <x:conditionalFormatting sqref="K6:K9">
    <x:cfRule type="containsText" dxfId="8" priority="1" operator="containsText" text="完成"/>
    <x:cfRule type="containsText" dxfId="9" priority="2" operator="containsText" text="進行"/>
    <x:cfRule type="containsText" dxfId="10" priority="3" operator="containsText" text="待補"/>
    <x:cfRule type="containsText" dxfId="11" priority="4" operator="containsText" text="逾期"/>
  </x:conditionalFormatting>
  <x:dataValidations count="3">
    <x:dataValidation type="whole" operator="between" sqref="C13:C17">
      <x:formula1>0</x:formula1>
      <x:formula2>100</x:formula2>
    </x:dataValidation>
    <x:dataValidation type="whole" operator="between" sqref="E13:E17">
      <x:formula1>0</x:formula1>
      <x:formula2>100</x:formula2>
    </x:dataValidation>
    <x:dataValidation type="whole" operator="between" sqref="G13:G17">
      <x:formula1>0</x:formula1>
      <x:formula2>100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7.219999313354492" hidden="0" customWidth="1"/>
    <x:col min="3" max="3" width="10.5600004196167" hidden="0" customWidth="1"/>
    <x:col min="4" max="4" width="10.5600004196167" hidden="0" customWidth="1"/>
    <x:col min="5" max="5" width="9.4399995803833" hidden="0" customWidth="1"/>
    <x:col min="6" max="6" width="8.329999923706055" hidden="0" customWidth="1"/>
    <x:col min="7" max="7" width="25.559999465942383" hidden="0" customWidth="1"/>
    <x:col min="8" max="8" width="16.670000076293945" hidden="0" customWidth="1"/>
    <x:col min="9" max="9" width="17.780000686645508" hidden="0" customWidth="1"/>
    <x:col min="10" max="10" width="12.779999732971191" hidden="0" customWidth="1"/>
    <x:col min="11" max="11" width="11.109999656677246" hidden="0" customWidth="1"/>
  </x:cols>
  <x:sheetData>
    <x:row r="1" ht="32" customHeight="1">
      <x:c r="A1" s="3" t="str">
        <x:v>Cost Comparison／Negotiation Record</x:v>
      </x:c>
    </x:row>
    <x:row r="2" ht="25" customHeight="1">
      <x:c r="A2" s="7" t="str">
        <x:v>單案成本改善超過 NT$4M 為已確認成果；原始報價與合約金額未放入本檔。</x:v>
      </x:c>
    </x:row>
    <x:row r="4" ht="24" customHeight="1">
      <x:c r="A4" s="68" t="str">
        <x:v>A. Cost Breakdown｜不能只比較總價</x:v>
      </x:c>
      <x:c r="B4" s="68" t="str">
        <x:v>A. Cost Breakdown｜不能只比較總價</x:v>
      </x:c>
      <x:c r="C4" s="68" t="str">
        <x:v>A. Cost Breakdown｜不能只比較總價</x:v>
      </x:c>
      <x:c r="D4" s="68" t="str">
        <x:v>A. Cost Breakdown｜不能只比較總價</x:v>
      </x:c>
      <x:c r="E4" s="68" t="str">
        <x:v>A. Cost Breakdown｜不能只比較總價</x:v>
      </x:c>
      <x:c r="F4" s="68" t="str">
        <x:v>A. Cost Breakdown｜不能只比較總價</x:v>
      </x:c>
      <x:c r="G4" s="68" t="str">
        <x:v>A. Cost Breakdown｜不能只比較總價</x:v>
      </x:c>
      <x:c r="H4" s="68" t="str">
        <x:v>A. Cost Breakdown｜不能只比較總價</x:v>
      </x:c>
      <x:c r="I4" s="68" t="str">
        <x:v>A. Cost Breakdown｜不能只比較總價</x:v>
      </x:c>
      <x:c r="J4" s="68" t="str">
        <x:v>A. Cost Breakdown｜不能只比較總價</x:v>
      </x:c>
      <x:c r="K4" s="68" t="str">
        <x:v>A. Cost Breakdown｜不能只比較總價</x:v>
      </x:c>
    </x:row>
    <x:row r="5" ht="25" customHeight="1">
      <x:c r="A5" s="16" t="str">
        <x:v>Cost element</x:v>
      </x:c>
      <x:c r="B5" s="17" t="str">
        <x:v>Scope basis</x:v>
      </x:c>
      <x:c r="C5" s="17" t="str">
        <x:v>Original</x:v>
      </x:c>
      <x:c r="D5" s="17" t="str">
        <x:v>Negotiated</x:v>
      </x:c>
      <x:c r="E5" s="17" t="str">
        <x:v>Delta</x:v>
      </x:c>
      <x:c r="F5" s="17" t="str">
        <x:v>Delta %</x:v>
      </x:c>
      <x:c r="G5" s="17" t="str">
        <x:v>談判槓桿／澄清</x:v>
      </x:c>
      <x:c r="H5" s="17" t="str">
        <x:v>交付影響</x:v>
      </x:c>
      <x:c r="I5" s="17" t="str">
        <x:v>證據</x:v>
      </x:c>
      <x:c r="J5" s="17" t="str">
        <x:v>狀態</x:v>
      </x:c>
      <x:c r="K5" s="18" t="str">
        <x:v>Owner</x:v>
      </x:c>
    </x:row>
    <x:row r="6" ht="24" customHeight="1">
      <x:c r="A6" s="38" t="str">
        <x:v>材料</x:v>
      </x:c>
      <x:c r="B6" s="39" t="str">
        <x:v>材質、數量、表面處理</x:v>
      </x:c>
      <x:c r="C6" s="117"/>
      <x:c r="D6" s="117"/>
      <x:c r="E6" s="120" t="str">
        <x:f>IF(OR(C6="",D6=""),"",C6-D6)</x:f>
      </x:c>
      <x:c r="F6" s="123" t="str">
        <x:f>IFERROR(E6/C6,"")</x:f>
      </x:c>
      <x:c r="G6" s="39" t="str">
        <x:v>替代供應、規格一致性、數量基準</x:v>
      </x:c>
      <x:c r="H6" s="39" t="str">
        <x:v>品質／交期</x:v>
      </x:c>
      <x:c r="I6" s="39" t="str">
        <x:v>報價與規格</x:v>
      </x:c>
      <x:c r="J6" s="39" t="str">
        <x:v>待補真實數字</x:v>
      </x:c>
      <x:c r="K6" s="40" t="str">
        <x:v>採購／工程</x:v>
      </x:c>
    </x:row>
    <x:row r="7" ht="24" customHeight="1">
      <x:c r="A7" s="41" t="str">
        <x:v>製作</x:v>
      </x:c>
      <x:c r="B7" s="42" t="str">
        <x:v>加工、焊接、組裝</x:v>
      </x:c>
      <x:c r="C7" s="118"/>
      <x:c r="D7" s="118"/>
      <x:c r="E7" s="121" t="str">
        <x:f>IF(OR(C7="",D7=""),"",C7-D7)</x:f>
      </x:c>
      <x:c r="F7" s="124" t="str">
        <x:f>IFERROR(E7/C7,"")</x:f>
      </x:c>
      <x:c r="G7" s="42" t="str">
        <x:v>工法、批次與產能</x:v>
      </x:c>
      <x:c r="H7" s="42" t="str">
        <x:v>交期／品質</x:v>
      </x:c>
      <x:c r="I7" s="42" t="str">
        <x:v>製作範圍</x:v>
      </x:c>
      <x:c r="J7" s="42" t="str">
        <x:v>待補真實數字</x:v>
      </x:c>
      <x:c r="K7" s="43" t="str">
        <x:v>採購／供應商</x:v>
      </x:c>
    </x:row>
    <x:row r="8" ht="24" customHeight="1">
      <x:c r="A8" s="41" t="str">
        <x:v>運輸／機具</x:v>
      </x:c>
      <x:c r="B8" s="42" t="str">
        <x:v>運輸、吊裝、待機</x:v>
      </x:c>
      <x:c r="C8" s="118"/>
      <x:c r="D8" s="118"/>
      <x:c r="E8" s="121" t="str">
        <x:f>IF(OR(C8="",D8=""),"",C8-D8)</x:f>
      </x:c>
      <x:c r="F8" s="124" t="str">
        <x:f>IFERROR(E8/C8,"")</x:f>
      </x:c>
      <x:c r="G8" s="42" t="str">
        <x:v>進場窗口、待機與費用歸屬</x:v>
      </x:c>
      <x:c r="H8" s="42" t="str">
        <x:v>施工面／成本</x:v>
      </x:c>
      <x:c r="I8" s="42" t="str">
        <x:v>機具 RFQ</x:v>
      </x:c>
      <x:c r="J8" s="42" t="str">
        <x:v>待補真實數字</x:v>
      </x:c>
      <x:c r="K8" s="43" t="str">
        <x:v>採購／PM</x:v>
      </x:c>
    </x:row>
    <x:row r="9" ht="24" customHeight="1">
      <x:c r="A9" s="41" t="str">
        <x:v>安裝／人力</x:v>
      </x:c>
      <x:c r="B9" s="42" t="str">
        <x:v>安裝、加班、夜間</x:v>
      </x:c>
      <x:c r="C9" s="118"/>
      <x:c r="D9" s="118"/>
      <x:c r="E9" s="121" t="str">
        <x:f>IF(OR(C9="",D9=""),"",C9-D9)</x:f>
      </x:c>
      <x:c r="F9" s="124" t="str">
        <x:f>IFERROR(E9/C9,"")</x:f>
      </x:c>
      <x:c r="G9" s="42" t="str">
        <x:v>工序、施工面、效率與 Recovery</x:v>
      </x:c>
      <x:c r="H9" s="42" t="str">
        <x:v>成本／進度</x:v>
      </x:c>
      <x:c r="I9" s="42" t="str">
        <x:v>出工與加班</x:v>
      </x:c>
      <x:c r="J9" s="42" t="str">
        <x:v>待補真實數字</x:v>
      </x:c>
      <x:c r="K9" s="43" t="str">
        <x:v>PM／供應商</x:v>
      </x:c>
    </x:row>
    <x:row r="10" ht="24" customHeight="1">
      <x:c r="A10" s="44" t="str">
        <x:v>商務／風險</x:v>
      </x:c>
      <x:c r="B10" s="45" t="str">
        <x:v>付款、保固、保留款</x:v>
      </x:c>
      <x:c r="C10" s="119"/>
      <x:c r="D10" s="119"/>
      <x:c r="E10" s="122" t="str">
        <x:f>IF(OR(C10="",D10=""),"",C10-D10)</x:f>
      </x:c>
      <x:c r="F10" s="125" t="str">
        <x:f>IFERROR(E10/C10,"")</x:f>
      </x:c>
      <x:c r="G10" s="45" t="str">
        <x:v>付款節點與責任分配</x:v>
      </x:c>
      <x:c r="H10" s="45" t="str">
        <x:v>現金流／履約</x:v>
      </x:c>
      <x:c r="I10" s="45" t="str">
        <x:v>合約條件</x:v>
      </x:c>
      <x:c r="J10" s="45" t="str">
        <x:v>待補真實數字</x:v>
      </x:c>
      <x:c r="K10" s="46" t="str">
        <x:v>採購／財務</x:v>
      </x:c>
    </x:row>
    <x:row r="12" ht="24" customHeight="1">
      <x:c r="A12" s="68" t="str">
        <x:v>B. Negotiation Decision Record｜已確認案例摘要</x:v>
      </x:c>
      <x:c r="B12" s="68" t="str">
        <x:v>B. Negotiation Decision Record｜已確認案例摘要</x:v>
      </x:c>
      <x:c r="C12" s="68" t="str">
        <x:v>B. Negotiation Decision Record｜已確認案例摘要</x:v>
      </x:c>
      <x:c r="D12" s="68" t="str">
        <x:v>B. Negotiation Decision Record｜已確認案例摘要</x:v>
      </x:c>
      <x:c r="E12" s="68" t="str">
        <x:v>B. Negotiation Decision Record｜已確認案例摘要</x:v>
      </x:c>
      <x:c r="F12" s="68" t="str">
        <x:v>B. Negotiation Decision Record｜已確認案例摘要</x:v>
      </x:c>
      <x:c r="G12" s="68" t="str">
        <x:v>B. Negotiation Decision Record｜已確認案例摘要</x:v>
      </x:c>
      <x:c r="H12" s="68" t="str">
        <x:v>B. Negotiation Decision Record｜已確認案例摘要</x:v>
      </x:c>
      <x:c r="I12" s="68" t="str">
        <x:v>B. Negotiation Decision Record｜已確認案例摘要</x:v>
      </x:c>
      <x:c r="J12" s="68" t="str">
        <x:v>B. Negotiation Decision Record｜已確認案例摘要</x:v>
      </x:c>
      <x:c r="K12" s="68" t="str">
        <x:v>B. Negotiation Decision Record｜已確認案例摘要</x:v>
      </x:c>
    </x:row>
    <x:row r="13" ht="34" customHeight="1">
      <x:c r="A13" s="16" t="str">
        <x:v>欄位</x:v>
      </x:c>
      <x:c r="B13" s="18" t="str">
        <x:v>紀錄</x:v>
      </x:c>
      <x:c r="D13" s="89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E13" s="90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F13" s="90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G13" s="90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H13" s="90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I13" s="90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J13" s="90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K13" s="91" t="str">
        <x:v>待補 Evidence｜建議本人提供 1 份匿名化前後報價或決策簽核，只保留品項、範圍差異與相對變化；金額可遮蔽。補入後，本頁會從「有成果陳述」升級為「可核驗降本案例」。</x:v>
      </x:c>
    </x:row>
    <x:row r="14" ht="34" customHeight="1">
      <x:c r="A14" s="38" t="str">
        <x:v>工作問題</x:v>
      </x:c>
      <x:c r="B14" s="40" t="str">
        <x:v>原報價範圍、供應方式與實際交付責任需重新拆解；若只議單價，無法確認整體風險。</x:v>
      </x:c>
      <x:c r="D14" s="131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E14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F14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G14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H14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I14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J14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K14" s="133" t="str">
        <x:v>待補 Evidence｜建議本人提供 1 份匿名化前後報價或決策簽核，只保留品項、範圍差異與相對變化；金額可遮蔽。補入後，本頁會從「有成果陳述」升級為「可核驗降本案例」。</x:v>
      </x:c>
    </x:row>
    <x:row r="15" ht="34" customHeight="1">
      <x:c r="A15" s="41" t="str">
        <x:v>我的判斷</x:v>
      </x:c>
      <x:c r="B15" s="43" t="str">
        <x:v>先將規格、工期、合約責任固定，再辨識材料、製作、施工、人力與商務條件的可談空間。</x:v>
      </x:c>
      <x:c r="D15" s="131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E15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F15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G15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H15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I15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J15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K15" s="133" t="str">
        <x:v>待補 Evidence｜建議本人提供 1 份匿名化前後報價或決策簽核，只保留品項、範圍差異與相對變化；金額可遮蔽。補入後，本頁會從「有成果陳述」升級為「可核驗降本案例」。</x:v>
      </x:c>
    </x:row>
    <x:row r="16" ht="34" customHeight="1">
      <x:c r="A16" s="41" t="str">
        <x:v>方法</x:v>
      </x:c>
      <x:c r="B16" s="43" t="str">
        <x:v>Scope alignment → cost breakdown → alternative supply／execution option → risk check → negotiation → decision record</x:v>
      </x:c>
      <x:c r="D16" s="131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E16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F16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G16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H16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I16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J16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K16" s="133" t="str">
        <x:v>待補 Evidence｜建議本人提供 1 份匿名化前後報價或決策簽核，只保留品項、範圍差異與相對變化；金額可遮蔽。補入後，本頁會從「有成果陳述」升級為「可核驗降本案例」。</x:v>
      </x:c>
    </x:row>
    <x:row r="17" ht="34" customHeight="1">
      <x:c r="A17" s="41" t="str">
        <x:v>使用工具</x:v>
      </x:c>
      <x:c r="B17" s="43" t="str">
        <x:v>Excel／Google Sheets 比較表、報價與合約文件、會議決議紀錄</x:v>
      </x:c>
      <x:c r="D17" s="131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E17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F17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G17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H17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I17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J17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K17" s="133" t="str">
        <x:v>待補 Evidence｜建議本人提供 1 份匿名化前後報價或決策簽核，只保留品項、範圍差異與相對變化；金額可遮蔽。補入後，本頁會從「有成果陳述」升級為「可核驗降本案例」。</x:v>
      </x:c>
    </x:row>
    <x:row r="18" ht="34" customHeight="1">
      <x:c r="A18" s="41" t="str">
        <x:v>實際產出</x:v>
      </x:c>
      <x:c r="B18" s="43" t="str">
        <x:v>成本拆解、方案比較、風險與條件差異、談判與決策紀錄</x:v>
      </x:c>
      <x:c r="D18" s="131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E18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F18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G18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H18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I18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J18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K18" s="133" t="str">
        <x:v>待補 Evidence｜建議本人提供 1 份匿名化前後報價或決策簽核，只保留品項、範圍差異與相對變化；金額可遮蔽。補入後，本頁會從「有成果陳述」升級為「可核驗降本案例」。</x:v>
      </x:c>
    </x:row>
    <x:row r="19" ht="34" customHeight="1">
      <x:c r="A19" s="41" t="str">
        <x:v>結果／價值</x:v>
      </x:c>
      <x:c r="B19" s="43" t="str">
        <x:v>在維持既定規格、工期與合約責任前提下，單案成本改善逾新台幣 400 萬元。</x:v>
      </x:c>
      <x:c r="D19" s="131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E19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F19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G19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H19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I19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J19" s="13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K19" s="133" t="str">
        <x:v>待補 Evidence｜建議本人提供 1 份匿名化前後報價或決策簽核，只保留品項、範圍差異與相對變化；金額可遮蔽。補入後，本頁會從「有成果陳述」升級為「可核驗降本案例」。</x:v>
      </x:c>
    </x:row>
    <x:row r="20" ht="34" customHeight="1">
      <x:c r="A20" s="44" t="str">
        <x:v>證明能力</x:v>
      </x:c>
      <x:c r="B20" s="46" t="str">
        <x:v>Cost Analysis／Negotiation／Commercial Judgment／Project Procurement</x:v>
      </x:c>
      <x:c r="D20" s="92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E20" s="93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F20" s="93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G20" s="93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H20" s="93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I20" s="93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J20" s="93" t="str">
        <x:v>待補 Evidence｜建議本人提供 1 份匿名化前後報價或決策簽核，只保留品項、範圍差異與相對變化；金額可遮蔽。補入後，本頁會從「有成果陳述」升級為「可核驗降本案例」。</x:v>
      </x:c>
      <x:c r="K20" s="94" t="str">
        <x:v>待補 Evidence｜建議本人提供 1 份匿名化前後報價或決策簽核，只保留品項、範圍差異與相對變化；金額可遮蔽。補入後，本頁會從「有成果陳述」升級為「可核驗降本案例」。</x:v>
      </x:c>
    </x:row>
  </x:sheetData>
  <x:mergeCells>
    <x:mergeCell ref="A1:K1"/>
    <x:mergeCell ref="A2:K2"/>
    <x:mergeCell ref="A4:K4"/>
    <x:mergeCell ref="A12:K12"/>
    <x:mergeCell ref="D13:K20"/>
  </x:mergeCells>
  <x:conditionalFormatting sqref="J6:J10">
    <x:cfRule type="containsText" dxfId="12" priority="1" operator="containsText" text="完成"/>
    <x:cfRule type="containsText" dxfId="13" priority="2" operator="containsText" text="進行"/>
    <x:cfRule type="containsText" dxfId="14" priority="3" operator="containsText" text="待補"/>
    <x:cfRule type="containsText" dxfId="15" priority="4" operator="containsText" text="逾期"/>
  </x:conditionalFormatting>
  <x:pageMargins left="0.7" right="0.7" top="0.75" bottom="0.75" header="0.3" footer="0.3"/>
  <x:legacyDrawing xmlns:r="http://schemas.openxmlformats.org/officeDocument/2006/relationships" r:id="R4ca5db4e82be476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9.4399995803833" hidden="0" customWidth="1"/>
    <x:col min="3" max="3" width="11.109999656677246" hidden="0" customWidth="1"/>
    <x:col min="4" max="4" width="9.4399995803833" hidden="0" customWidth="1"/>
    <x:col min="5" max="5" width="8.890000343322754" hidden="0" customWidth="1"/>
    <x:col min="6" max="6" width="8.890000343322754" hidden="0" customWidth="1"/>
    <x:col min="7" max="7" width="11.109999656677246" hidden="0" customWidth="1"/>
    <x:col min="8" max="8" width="10" hidden="0" customWidth="1"/>
    <x:col min="9" max="9" width="10" hidden="0" customWidth="1"/>
    <x:col min="10" max="10" width="10.5600004196167" hidden="0" customWidth="1"/>
    <x:col min="11" max="11" width="11.109999656677246" hidden="0" customWidth="1"/>
    <x:col min="12" max="12" width="26.670000076293945" hidden="0" customWidth="1"/>
  </x:cols>
  <x:sheetData>
    <x:row r="1" ht="32" customHeight="1">
      <x:c r="A1" s="3" t="str">
        <x:v>Supplier Performance Scorecard</x:v>
      </x:c>
    </x:row>
    <x:row r="2" ht="25" customHeight="1">
      <x:c r="A2" s="7" t="str">
        <x:v>以匿名化實績資料衡量投入、加班與資料完整度；品質、準交與缺失關閉尚缺原始資料，不以假分數補齊。</x:v>
      </x:c>
    </x:row>
    <x:row r="4" ht="25" customHeight="1">
      <x:c r="A4" s="16" t="str">
        <x:v>Supplier</x:v>
      </x:c>
      <x:c r="B4" s="17" t="str">
        <x:v>Record count</x:v>
      </x:c>
      <x:c r="C4" s="17" t="str">
        <x:v>Total work units</x:v>
      </x:c>
      <x:c r="D4" s="17" t="str">
        <x:v>OT hours</x:v>
      </x:c>
      <x:c r="E4" s="17" t="str">
        <x:v>OT share</x:v>
      </x:c>
      <x:c r="F4" s="17" t="str">
        <x:v>Active months</x:v>
      </x:c>
      <x:c r="G4" s="17" t="str">
        <x:v>Machinery cost</x:v>
      </x:c>
      <x:c r="H4" s="17" t="str">
        <x:v>Delivery KPI</x:v>
      </x:c>
      <x:c r="I4" s="17" t="str">
        <x:v>Quality KPI</x:v>
      </x:c>
      <x:c r="J4" s="17" t="str">
        <x:v>Issue closure</x:v>
      </x:c>
      <x:c r="K4" s="17" t="str">
        <x:v>Data confidence</x:v>
      </x:c>
      <x:c r="L4" s="18" t="str">
        <x:v>管理判讀</x:v>
      </x:c>
    </x:row>
    <x:row r="5" ht="24" customHeight="1">
      <x:c r="A5" s="38" t="str">
        <x:v>S-01</x:v>
      </x:c>
      <x:c r="B5" s="103"/>
      <x:c r="C5" s="69" t="n">
        <x:v>992.76</x:v>
      </x:c>
      <x:c r="D5" s="69" t="n">
        <x:v>893</x:v>
      </x:c>
      <x:c r="E5" s="123" t="n">
        <x:f>IF(C5=0,"",D5/(C5*8))</x:f>
        <x:v>0.1124390587856078</x:v>
      </x:c>
      <x:c r="F5" s="39" t="n">
        <x:v>4</x:v>
      </x:c>
      <x:c r="G5" s="39" t="n">
        <x:v>0</x:v>
      </x:c>
      <x:c r="H5" s="103" t="str">
        <x:v>待補</x:v>
      </x:c>
      <x:c r="I5" s="103" t="str">
        <x:v>待補</x:v>
      </x:c>
      <x:c r="J5" s="103" t="str">
        <x:v>待補</x:v>
      </x:c>
      <x:c r="K5" s="39" t="str">
        <x:v>高</x:v>
      </x:c>
      <x:c r="L5" s="40" t="str">
        <x:v>主要投入供應商；需對照完成工項與加班成效</x:v>
      </x:c>
    </x:row>
    <x:row r="6" ht="24" customHeight="1">
      <x:c r="A6" s="41" t="str">
        <x:v>S-02</x:v>
      </x:c>
      <x:c r="B6" s="104"/>
      <x:c r="C6" s="71" t="n">
        <x:v>440.75</x:v>
      </x:c>
      <x:c r="D6" s="71" t="n">
        <x:v>426</x:v>
      </x:c>
      <x:c r="E6" s="124" t="n">
        <x:f>IF(C6=0,"",D6/(C6*8))</x:f>
        <x:v>0.12081678956324447</x:v>
      </x:c>
      <x:c r="F6" s="42" t="n">
        <x:v>2</x:v>
      </x:c>
      <x:c r="G6" s="42" t="n">
        <x:v>0</x:v>
      </x:c>
      <x:c r="H6" s="104" t="str">
        <x:v>待補</x:v>
      </x:c>
      <x:c r="I6" s="104" t="str">
        <x:v>待補</x:v>
      </x:c>
      <x:c r="J6" s="104" t="str">
        <x:v>待補</x:v>
      </x:c>
      <x:c r="K6" s="42" t="str">
        <x:v>高</x:v>
      </x:c>
      <x:c r="L6" s="43" t="str">
        <x:v>協力供應商；投入集中於後段區域與配件工項</x:v>
      </x:c>
    </x:row>
    <x:row r="7" ht="24" customHeight="1">
      <x:c r="A7" s="41" t="str">
        <x:v>S-03</x:v>
      </x:c>
      <x:c r="B7" s="104"/>
      <x:c r="C7" s="71" t="n">
        <x:v>176.25</x:v>
      </x:c>
      <x:c r="D7" s="71" t="n">
        <x:v>38</x:v>
      </x:c>
      <x:c r="E7" s="124" t="n">
        <x:f>IF(C7=0,"",D7/(C7*8))</x:f>
        <x:v>0.02695035460992908</x:v>
      </x:c>
      <x:c r="F7" s="42" t="n">
        <x:v>3</x:v>
      </x:c>
      <x:c r="G7" s="42" t="n">
        <x:v>0</x:v>
      </x:c>
      <x:c r="H7" s="104" t="str">
        <x:v>待補</x:v>
      </x:c>
      <x:c r="I7" s="104" t="str">
        <x:v>待補</x:v>
      </x:c>
      <x:c r="J7" s="104" t="str">
        <x:v>待補</x:v>
      </x:c>
      <x:c r="K7" s="42" t="str">
        <x:v>高</x:v>
      </x:c>
      <x:c r="L7" s="43" t="str">
        <x:v>放樣／焊接等前置或專業工項</x:v>
      </x:c>
    </x:row>
    <x:row r="8" ht="24" customHeight="1">
      <x:c r="A8" s="41" t="str">
        <x:v>S-04</x:v>
      </x:c>
      <x:c r="B8" s="104"/>
      <x:c r="C8" s="71" t="n">
        <x:v>50.05</x:v>
      </x:c>
      <x:c r="D8" s="71" t="n">
        <x:v>7.5</x:v>
      </x:c>
      <x:c r="E8" s="124" t="n">
        <x:f>IF(C8=0,"",D8/(C8*8))</x:f>
        <x:v>0.018731268731268732</x:v>
      </x:c>
      <x:c r="F8" s="42" t="n">
        <x:v>3</x:v>
      </x:c>
      <x:c r="G8" s="42" t="n">
        <x:v>0</x:v>
      </x:c>
      <x:c r="H8" s="104" t="str">
        <x:v>待補</x:v>
      </x:c>
      <x:c r="I8" s="104" t="str">
        <x:v>待補</x:v>
      </x:c>
      <x:c r="J8" s="104" t="str">
        <x:v>待補</x:v>
      </x:c>
      <x:c r="K8" s="42" t="str">
        <x:v>高</x:v>
      </x:c>
      <x:c r="L8" s="43" t="str">
        <x:v>鑽孔／植栓相關工項；需連回異常處理</x:v>
      </x:c>
    </x:row>
    <x:row r="9" ht="24" customHeight="1">
      <x:c r="A9" s="41" t="str">
        <x:v>S-05</x:v>
      </x:c>
      <x:c r="B9" s="104"/>
      <x:c r="C9" s="71" t="n">
        <x:v>7</x:v>
      </x:c>
      <x:c r="D9" s="71" t="n">
        <x:v>0</x:v>
      </x:c>
      <x:c r="E9" s="124" t="n">
        <x:f>IF(C9=0,"",D9/(C9*8))</x:f>
        <x:v>0</x:v>
      </x:c>
      <x:c r="F9" s="42" t="n">
        <x:v>2</x:v>
      </x:c>
      <x:c r="G9" s="42" t="n">
        <x:v>0</x:v>
      </x:c>
      <x:c r="H9" s="104" t="str">
        <x:v>待補</x:v>
      </x:c>
      <x:c r="I9" s="104" t="str">
        <x:v>待補</x:v>
      </x:c>
      <x:c r="J9" s="104" t="str">
        <x:v>待補</x:v>
      </x:c>
      <x:c r="K9" s="42" t="str">
        <x:v>中</x:v>
      </x:c>
      <x:c r="L9" s="43" t="str">
        <x:v>小量前置作業，績效不宜與主承攬商直接比較</x:v>
      </x:c>
    </x:row>
    <x:row r="10" ht="24" customHeight="1">
      <x:c r="A10" s="44" t="str">
        <x:v>S-06</x:v>
      </x:c>
      <x:c r="B10" s="105"/>
      <x:c r="C10" s="73" t="n">
        <x:v>30</x:v>
      </x:c>
      <x:c r="D10" s="73" t="n">
        <x:v>0</x:v>
      </x:c>
      <x:c r="E10" s="125" t="n">
        <x:f>IF(C10=0,"",D10/(C10*8))</x:f>
        <x:v>0</x:v>
      </x:c>
      <x:c r="F10" s="45" t="n">
        <x:v>1</x:v>
      </x:c>
      <x:c r="G10" s="45" t="n">
        <x:v>0</x:v>
      </x:c>
      <x:c r="H10" s="105" t="str">
        <x:v>待補</x:v>
      </x:c>
      <x:c r="I10" s="105" t="str">
        <x:v>待補</x:v>
      </x:c>
      <x:c r="J10" s="105" t="str">
        <x:v>待補</x:v>
      </x:c>
      <x:c r="K10" s="45" t="str">
        <x:v>中</x:v>
      </x:c>
      <x:c r="L10" s="46" t="str">
        <x:v>短期／單月投入，需補交付結果</x:v>
      </x:c>
    </x:row>
    <x:row r="12" ht="24" customHeight="1">
      <x:c r="A12" s="68" t="str">
        <x:v>Supplier review rule</x:v>
      </x:c>
      <x:c r="B12" s="68" t="str">
        <x:v>Supplier review rule</x:v>
      </x:c>
      <x:c r="C12" s="68" t="str">
        <x:v>Supplier review rule</x:v>
      </x:c>
      <x:c r="D12" s="68" t="str">
        <x:v>Supplier review rule</x:v>
      </x:c>
      <x:c r="E12" s="68" t="str">
        <x:v>Supplier review rule</x:v>
      </x:c>
      <x:c r="F12" s="68" t="str">
        <x:v>Supplier review rule</x:v>
      </x:c>
      <x:c r="G12" s="68" t="str">
        <x:v>Supplier review rule</x:v>
      </x:c>
      <x:c r="H12" s="68" t="str">
        <x:v>Supplier review rule</x:v>
      </x:c>
      <x:c r="I12" s="68" t="str">
        <x:v>Supplier review rule</x:v>
      </x:c>
      <x:c r="J12" s="68" t="str">
        <x:v>Supplier review rule</x:v>
      </x:c>
      <x:c r="K12" s="68" t="str">
        <x:v>Supplier review rule</x:v>
      </x:c>
      <x:c r="L12" s="68" t="str">
        <x:v>Supplier review rule</x:v>
      </x:c>
    </x:row>
    <x:row r="13" ht="25" customHeight="1">
      <x:c r="A13" s="16" t="str">
        <x:v>規則</x:v>
      </x:c>
      <x:c r="B13" s="17" t="str">
        <x:v>容量／投入</x:v>
      </x:c>
      <x:c r="C13" s="17" t="str">
        <x:v>交期</x:v>
      </x:c>
      <x:c r="D13" s="17" t="str">
        <x:v>品質</x:v>
      </x:c>
      <x:c r="E13" s="17" t="str">
        <x:v>問題關閉</x:v>
      </x:c>
      <x:c r="F13" s="17" t="str">
        <x:v>商務</x:v>
      </x:c>
      <x:c r="G13" s="17" t="str">
        <x:v>風險</x:v>
      </x:c>
      <x:c r="H13" s="17" t="str">
        <x:v>Evidence</x:v>
      </x:c>
      <x:c r="I13" s="17" t="str">
        <x:v>Decision</x:v>
      </x:c>
      <x:c r="J13" s="17" t="str">
        <x:v>Owner</x:v>
      </x:c>
      <x:c r="K13" s="17" t="str">
        <x:v>Review date</x:v>
      </x:c>
      <x:c r="L13" s="18" t="str">
        <x:v>備註</x:v>
      </x:c>
    </x:row>
    <x:row r="14" ht="24" customHeight="1">
      <x:c r="A14" s="38" t="str">
        <x:v>已具實績</x:v>
      </x:c>
      <x:c r="B14" s="39" t="str">
        <x:v>工數、月份、加班</x:v>
      </x:c>
      <x:c r="C14" s="39" t="str">
        <x:v>待補</x:v>
      </x:c>
      <x:c r="D14" s="39" t="str">
        <x:v>待補</x:v>
      </x:c>
      <x:c r="E14" s="39" t="str">
        <x:v>待補</x:v>
      </x:c>
      <x:c r="F14" s="39" t="str">
        <x:v>部分：成本與請款</x:v>
      </x:c>
      <x:c r="G14" s="39" t="str">
        <x:v>加班集中、工項依賴</x:v>
      </x:c>
      <x:c r="H14" s="39" t="str">
        <x:v>原始列可回查</x:v>
      </x:c>
      <x:c r="I14" s="39" t="str">
        <x:v>不可直接選商</x:v>
      </x:c>
      <x:c r="J14" s="39" t="str">
        <x:v>採購／PM</x:v>
      </x:c>
      <x:c r="K14" s="95"/>
      <x:c r="L14" s="40" t="str">
        <x:v>缺品質／準交資料，不產生總分</x:v>
      </x:c>
    </x:row>
    <x:row r="15" ht="24" customHeight="1">
      <x:c r="A15" s="44" t="str">
        <x:v>補齊後</x:v>
      </x:c>
      <x:c r="B15" s="45" t="str">
        <x:v>產能承諾 vs 實際</x:v>
      </x:c>
      <x:c r="C15" s="45" t="str">
        <x:v>On-time %</x:v>
      </x:c>
      <x:c r="D15" s="45" t="str">
        <x:v>缺失／返工</x:v>
      </x:c>
      <x:c r="E15" s="45" t="str">
        <x:v>平均關閉日</x:v>
      </x:c>
      <x:c r="F15" s="45" t="str">
        <x:v>條件／價格</x:v>
      </x:c>
      <x:c r="G15" s="45" t="str">
        <x:v>風險趨勢</x:v>
      </x:c>
      <x:c r="H15" s="45" t="str">
        <x:v>附件索引</x:v>
      </x:c>
      <x:c r="I15" s="45" t="str">
        <x:v>形成供應商策略</x:v>
      </x:c>
      <x:c r="J15" s="45" t="str">
        <x:v>採購／品質</x:v>
      </x:c>
      <x:c r="K15" s="97"/>
      <x:c r="L15" s="46" t="str">
        <x:v>可再建立加權評分</x:v>
      </x:c>
    </x:row>
  </x:sheetData>
  <x:mergeCells>
    <x:mergeCell ref="A1:L1"/>
    <x:mergeCell ref="A2:L2"/>
    <x:mergeCell ref="A12:L12"/>
  </x:mergeCells>
  <x:conditionalFormatting sqref="H5:J10">
    <x:cfRule type="containsText" dxfId="16" priority="1" operator="containsText" text="完成"/>
    <x:cfRule type="containsText" dxfId="17" priority="2" operator="containsText" text="進行"/>
    <x:cfRule type="containsText" dxfId="18" priority="3" operator="containsText" text="待補"/>
    <x:cfRule type="containsText" dxfId="19" priority="4" operator="containsText" text="逾期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11.109999656677246" hidden="0" customWidth="1"/>
    <x:col min="3" max="3" width="20" hidden="0" customWidth="1"/>
    <x:col min="4" max="4" width="11.670000076293945" hidden="0" customWidth="1"/>
    <x:col min="5" max="5" width="11.670000076293945" hidden="0" customWidth="1"/>
    <x:col min="6" max="6" width="11.109999656677246" hidden="0" customWidth="1"/>
    <x:col min="7" max="7" width="11.109999656677246" hidden="0" customWidth="1"/>
    <x:col min="8" max="8" width="13.329999923706055" hidden="0" customWidth="1"/>
    <x:col min="9" max="9" width="11.109999656677246" hidden="0" customWidth="1"/>
    <x:col min="10" max="10" width="18.889999389648438" hidden="0" customWidth="1"/>
    <x:col min="11" max="11" width="17.780000686645508" hidden="0" customWidth="1"/>
    <x:col min="12" max="12" width="16.670000076293945" hidden="0" customWidth="1"/>
    <x:col min="13" max="13" width="11.670000076293945" hidden="0" customWidth="1"/>
  </x:cols>
  <x:sheetData>
    <x:row r="1" ht="32" customHeight="1">
      <x:c r="A1" s="3" t="str">
        <x:v>Procurement Tracker／供應包交付追蹤</x:v>
      </x:c>
    </x:row>
    <x:row r="2" ht="25" customHeight="1">
      <x:c r="A2" s="7" t="str">
        <x:v>採購包依真實工項重建；沒有原始 PO／合約編號，因此以 package code 取代。</x:v>
      </x:c>
    </x:row>
    <x:row r="4" ht="25" customHeight="1">
      <x:c r="A4" s="16" t="str">
        <x:v>Package</x:v>
      </x:c>
      <x:c r="B4" s="17" t="str">
        <x:v>Category</x:v>
      </x:c>
      <x:c r="C4" s="17" t="str">
        <x:v>需求／Scope</x:v>
      </x:c>
      <x:c r="D4" s="17" t="str">
        <x:v>Sourcing／RFQ</x:v>
      </x:c>
      <x:c r="E4" s="17" t="str">
        <x:v>Award／Contract</x:v>
      </x:c>
      <x:c r="F4" s="17" t="str">
        <x:v>Actual first activity</x:v>
      </x:c>
      <x:c r="G4" s="17" t="str">
        <x:v>Actual last activity</x:v>
      </x:c>
      <x:c r="H4" s="17" t="str">
        <x:v>Dependency</x:v>
      </x:c>
      <x:c r="I4" s="17" t="str">
        <x:v>Supplier code</x:v>
      </x:c>
      <x:c r="J4" s="17" t="str">
        <x:v>Current evidence</x:v>
      </x:c>
      <x:c r="K4" s="17" t="str">
        <x:v>Risk／Issue</x:v>
      </x:c>
      <x:c r="L4" s="17" t="str">
        <x:v>Next action</x:v>
      </x:c>
      <x:c r="M4" s="18" t="str">
        <x:v>狀態</x:v>
      </x:c>
    </x:row>
    <x:row r="5" ht="24" customHeight="1">
      <x:c r="A5" s="38" t="str">
        <x:v>PKG-01</x:v>
      </x:c>
      <x:c r="B5" s="39" t="str">
        <x:v>測量／放樣</x:v>
      </x:c>
      <x:c r="C5" s="39" t="str">
        <x:v>軸線、高程與柱位基準</x:v>
      </x:c>
      <x:c r="D5" s="103" t="str">
        <x:v>待補 RFQ</x:v>
      </x:c>
      <x:c r="E5" s="103" t="str">
        <x:v>待補</x:v>
      </x:c>
      <x:c r="F5" s="95" t="n">
        <x:v>46090</x:v>
      </x:c>
      <x:c r="G5" s="95" t="n">
        <x:v>46098</x:v>
      </x:c>
      <x:c r="H5" s="39" t="str">
        <x:v>Project start</x:v>
      </x:c>
      <x:c r="I5" s="39" t="str">
        <x:v>S-03/S-05</x:v>
      </x:c>
      <x:c r="J5" s="39" t="str">
        <x:v>出工紀錄</x:v>
      </x:c>
      <x:c r="K5" s="39" t="str">
        <x:v>基準錯誤影響後續</x:v>
      </x:c>
      <x:c r="L5" s="39" t="str">
        <x:v>補入完成簽認</x:v>
      </x:c>
      <x:c r="M5" s="40" t="str">
        <x:v>有執行證據</x:v>
      </x:c>
    </x:row>
    <x:row r="6" ht="24" customHeight="1">
      <x:c r="A6" s="41" t="str">
        <x:v>PKG-02</x:v>
      </x:c>
      <x:c r="B6" s="42" t="str">
        <x:v>鑽孔／植栓</x:v>
      </x:c>
      <x:c r="C6" s="42" t="str">
        <x:v>鑽孔、植栓與異常修補</x:v>
      </x:c>
      <x:c r="D6" s="104" t="str">
        <x:v>待補 RFQ</x:v>
      </x:c>
      <x:c r="E6" s="104" t="str">
        <x:v>待補</x:v>
      </x:c>
      <x:c r="F6" s="96" t="n">
        <x:v>46099</x:v>
      </x:c>
      <x:c r="G6" s="96" t="n">
        <x:v>46121</x:v>
      </x:c>
      <x:c r="H6" s="42" t="str">
        <x:v>PKG-01</x:v>
      </x:c>
      <x:c r="I6" s="42" t="str">
        <x:v>S-04</x:v>
      </x:c>
      <x:c r="J6" s="42" t="str">
        <x:v>數量與異常紀錄</x:v>
      </x:c>
      <x:c r="K6" s="42" t="str">
        <x:v>鋼筋／管線／樓板異常</x:v>
      </x:c>
      <x:c r="L6" s="42" t="str">
        <x:v>補入處置關閉</x:v>
      </x:c>
      <x:c r="M6" s="43" t="str">
        <x:v>有執行證據</x:v>
      </x:c>
    </x:row>
    <x:row r="7" ht="24" customHeight="1">
      <x:c r="A7" s="41" t="str">
        <x:v>PKG-03</x:v>
      </x:c>
      <x:c r="B7" s="42" t="str">
        <x:v>鋼平台／結構</x:v>
      </x:c>
      <x:c r="C7" s="42" t="str">
        <x:v>立柱、樑、角鋼與調整</x:v>
      </x:c>
      <x:c r="D7" s="104" t="str">
        <x:v>待補 RFQ</x:v>
      </x:c>
      <x:c r="E7" s="104" t="str">
        <x:v>待補</x:v>
      </x:c>
      <x:c r="F7" s="96" t="n">
        <x:v>46101</x:v>
      </x:c>
      <x:c r="G7" s="96" t="n">
        <x:v>46163</x:v>
      </x:c>
      <x:c r="H7" s="42" t="str">
        <x:v>PKG-01,02</x:v>
      </x:c>
      <x:c r="I7" s="42" t="str">
        <x:v>S-01/S-03</x:v>
      </x:c>
      <x:c r="J7" s="42" t="str">
        <x:v>出工＋加班＋請款</x:v>
      </x:c>
      <x:c r="K7" s="42" t="str">
        <x:v>投入高、界面多</x:v>
      </x:c>
      <x:c r="L7" s="42" t="str">
        <x:v>補入合約與驗收</x:v>
      </x:c>
      <x:c r="M7" s="43" t="str">
        <x:v>有執行證據</x:v>
      </x:c>
    </x:row>
    <x:row r="8" ht="24" customHeight="1">
      <x:c r="A8" s="41" t="str">
        <x:v>PKG-04</x:v>
      </x:c>
      <x:c r="B8" s="42" t="str">
        <x:v>貨架／軌道</x:v>
      </x:c>
      <x:c r="C8" s="42" t="str">
        <x:v>貨架、軌道、拉桿與調整</x:v>
      </x:c>
      <x:c r="D8" s="104" t="str">
        <x:v>待補 RFQ</x:v>
      </x:c>
      <x:c r="E8" s="104" t="str">
        <x:v>待補</x:v>
      </x:c>
      <x:c r="F8" s="96" t="n">
        <x:v>46102</x:v>
      </x:c>
      <x:c r="G8" s="96" t="n">
        <x:v>46163</x:v>
      </x:c>
      <x:c r="H8" s="42" t="str">
        <x:v>PKG-03</x:v>
      </x:c>
      <x:c r="I8" s="42" t="str">
        <x:v>S-01/S-02</x:v>
      </x:c>
      <x:c r="J8" s="42" t="str">
        <x:v>區域施工紀錄</x:v>
      </x:c>
      <x:c r="K8" s="42" t="str">
        <x:v>多區域並行與垂直水平調整</x:v>
      </x:c>
      <x:c r="L8" s="42" t="str">
        <x:v>補入 Punch List</x:v>
      </x:c>
      <x:c r="M8" s="43" t="str">
        <x:v>有執行證據</x:v>
      </x:c>
    </x:row>
    <x:row r="9" ht="24" customHeight="1">
      <x:c r="A9" s="44" t="str">
        <x:v>PKG-05</x:v>
      </x:c>
      <x:c r="B9" s="45" t="str">
        <x:v>吊裝／機具</x:v>
      </x:c>
      <x:c r="C9" s="45" t="str">
        <x:v>起重、夾具、清運與待機條件</x:v>
      </x:c>
      <x:c r="D9" s="105" t="str">
        <x:v>待補 RFQ</x:v>
      </x:c>
      <x:c r="E9" s="105" t="str">
        <x:v>待補</x:v>
      </x:c>
      <x:c r="F9" s="97" t="n">
        <x:v>46082</x:v>
      </x:c>
      <x:c r="G9" s="97" t="n">
        <x:v>46173</x:v>
      </x:c>
      <x:c r="H9" s="45" t="str">
        <x:v>Look-ahead</x:v>
      </x:c>
      <x:c r="I9" s="45" t="str">
        <x:v>M-01/M-02</x:v>
      </x:c>
      <x:c r="J9" s="45" t="str">
        <x:v>機具明細</x:v>
      </x:c>
      <x:c r="K9" s="45" t="str">
        <x:v>規格、淨高、窗口與費用歸屬</x:v>
      </x:c>
      <x:c r="L9" s="45" t="str">
        <x:v>補入機具規格表</x:v>
      </x:c>
      <x:c r="M9" s="46" t="str">
        <x:v>有成本證據</x:v>
      </x:c>
    </x:row>
    <x:row r="11" ht="34" customHeight="1">
      <x:c r="A11" s="89" t="str">
        <x:v>這張表的管理價值不是「有一張清單」，而是把 Scope、Sourcing、合約、實際執行、Dependency、Issue 與 Evidence 放在同一列，讓採購狀態能連回專案交付。 </x:v>
      </x:c>
      <x:c r="B11" s="90" t="str">
        <x:v>這張表的管理價值不是「有一張清單」，而是把 Scope、Sourcing、合約、實際執行、Dependency、Issue 與 Evidence 放在同一列，讓採購狀態能連回專案交付。 </x:v>
      </x:c>
      <x:c r="C11" s="90" t="str">
        <x:v>這張表的管理價值不是「有一張清單」，而是把 Scope、Sourcing、合約、實際執行、Dependency、Issue 與 Evidence 放在同一列，讓採購狀態能連回專案交付。 </x:v>
      </x:c>
      <x:c r="D11" s="90" t="str">
        <x:v>這張表的管理價值不是「有一張清單」，而是把 Scope、Sourcing、合約、實際執行、Dependency、Issue 與 Evidence 放在同一列，讓採購狀態能連回專案交付。 </x:v>
      </x:c>
      <x:c r="E11" s="90" t="str">
        <x:v>這張表的管理價值不是「有一張清單」，而是把 Scope、Sourcing、合約、實際執行、Dependency、Issue 與 Evidence 放在同一列，讓採購狀態能連回專案交付。 </x:v>
      </x:c>
      <x:c r="F11" s="90" t="str">
        <x:v>這張表的管理價值不是「有一張清單」，而是把 Scope、Sourcing、合約、實際執行、Dependency、Issue 與 Evidence 放在同一列，讓採購狀態能連回專案交付。 </x:v>
      </x:c>
      <x:c r="G11" s="90" t="str">
        <x:v>這張表的管理價值不是「有一張清單」，而是把 Scope、Sourcing、合約、實際執行、Dependency、Issue 與 Evidence 放在同一列，讓採購狀態能連回專案交付。 </x:v>
      </x:c>
      <x:c r="H11" s="90" t="str">
        <x:v>這張表的管理價值不是「有一張清單」，而是把 Scope、Sourcing、合約、實際執行、Dependency、Issue 與 Evidence 放在同一列，讓採購狀態能連回專案交付。 </x:v>
      </x:c>
      <x:c r="I11" s="90" t="str">
        <x:v>這張表的管理價值不是「有一張清單」，而是把 Scope、Sourcing、合約、實際執行、Dependency、Issue 與 Evidence 放在同一列，讓採購狀態能連回專案交付。 </x:v>
      </x:c>
      <x:c r="J11" s="90" t="str">
        <x:v>這張表的管理價值不是「有一張清單」，而是把 Scope、Sourcing、合約、實際執行、Dependency、Issue 與 Evidence 放在同一列，讓採購狀態能連回專案交付。 </x:v>
      </x:c>
      <x:c r="K11" s="90" t="str">
        <x:v>這張表的管理價值不是「有一張清單」，而是把 Scope、Sourcing、合約、實際執行、Dependency、Issue 與 Evidence 放在同一列，讓採購狀態能連回專案交付。 </x:v>
      </x:c>
      <x:c r="L11" s="90" t="str">
        <x:v>這張表的管理價值不是「有一張清單」，而是把 Scope、Sourcing、合約、實際執行、Dependency、Issue 與 Evidence 放在同一列，讓採購狀態能連回專案交付。 </x:v>
      </x:c>
      <x:c r="M11" s="91" t="str">
        <x:v>這張表的管理價值不是「有一張清單」，而是把 Scope、Sourcing、合約、實際執行、Dependency、Issue 與 Evidence 放在同一列，讓採購狀態能連回專案交付。 </x:v>
      </x:c>
    </x:row>
    <x:row r="12" ht="34" customHeight="1">
      <x:c r="A12" s="92" t="str">
        <x:v>這張表的管理價值不是「有一張清單」，而是把 Scope、Sourcing、合約、實際執行、Dependency、Issue 與 Evidence 放在同一列，讓採購狀態能連回專案交付。 </x:v>
      </x:c>
      <x:c r="B12" s="93" t="str">
        <x:v>這張表的管理價值不是「有一張清單」，而是把 Scope、Sourcing、合約、實際執行、Dependency、Issue 與 Evidence 放在同一列，讓採購狀態能連回專案交付。 </x:v>
      </x:c>
      <x:c r="C12" s="93" t="str">
        <x:v>這張表的管理價值不是「有一張清單」，而是把 Scope、Sourcing、合約、實際執行、Dependency、Issue 與 Evidence 放在同一列，讓採購狀態能連回專案交付。 </x:v>
      </x:c>
      <x:c r="D12" s="93" t="str">
        <x:v>這張表的管理價值不是「有一張清單」，而是把 Scope、Sourcing、合約、實際執行、Dependency、Issue 與 Evidence 放在同一列，讓採購狀態能連回專案交付。 </x:v>
      </x:c>
      <x:c r="E12" s="93" t="str">
        <x:v>這張表的管理價值不是「有一張清單」，而是把 Scope、Sourcing、合約、實際執行、Dependency、Issue 與 Evidence 放在同一列，讓採購狀態能連回專案交付。 </x:v>
      </x:c>
      <x:c r="F12" s="93" t="str">
        <x:v>這張表的管理價值不是「有一張清單」，而是把 Scope、Sourcing、合約、實際執行、Dependency、Issue 與 Evidence 放在同一列，讓採購狀態能連回專案交付。 </x:v>
      </x:c>
      <x:c r="G12" s="93" t="str">
        <x:v>這張表的管理價值不是「有一張清單」，而是把 Scope、Sourcing、合約、實際執行、Dependency、Issue 與 Evidence 放在同一列，讓採購狀態能連回專案交付。 </x:v>
      </x:c>
      <x:c r="H12" s="93" t="str">
        <x:v>這張表的管理價值不是「有一張清單」，而是把 Scope、Sourcing、合約、實際執行、Dependency、Issue 與 Evidence 放在同一列，讓採購狀態能連回專案交付。 </x:v>
      </x:c>
      <x:c r="I12" s="93" t="str">
        <x:v>這張表的管理價值不是「有一張清單」，而是把 Scope、Sourcing、合約、實際執行、Dependency、Issue 與 Evidence 放在同一列，讓採購狀態能連回專案交付。 </x:v>
      </x:c>
      <x:c r="J12" s="93" t="str">
        <x:v>這張表的管理價值不是「有一張清單」，而是把 Scope、Sourcing、合約、實際執行、Dependency、Issue 與 Evidence 放在同一列，讓採購狀態能連回專案交付。 </x:v>
      </x:c>
      <x:c r="K12" s="93" t="str">
        <x:v>這張表的管理價值不是「有一張清單」，而是把 Scope、Sourcing、合約、實際執行、Dependency、Issue 與 Evidence 放在同一列，讓採購狀態能連回專案交付。 </x:v>
      </x:c>
      <x:c r="L12" s="93" t="str">
        <x:v>這張表的管理價值不是「有一張清單」，而是把 Scope、Sourcing、合約、實際執行、Dependency、Issue 與 Evidence 放在同一列，讓採購狀態能連回專案交付。 </x:v>
      </x:c>
      <x:c r="M12" s="94" t="str">
        <x:v>這張表的管理價值不是「有一張清單」，而是把 Scope、Sourcing、合約、實際執行、Dependency、Issue 與 Evidence 放在同一列，讓採購狀態能連回專案交付。 </x:v>
      </x:c>
    </x:row>
  </x:sheetData>
  <x:mergeCells>
    <x:mergeCell ref="A1:M1"/>
    <x:mergeCell ref="A2:M2"/>
    <x:mergeCell ref="A11:M12"/>
  </x:mergeCells>
  <x:conditionalFormatting sqref="M5:M9">
    <x:cfRule type="containsText" dxfId="20" priority="1" operator="containsText" text="完成"/>
    <x:cfRule type="containsText" dxfId="21" priority="2" operator="containsText" text="進行"/>
    <x:cfRule type="containsText" dxfId="22" priority="3" operator="containsText" text="待補"/>
    <x:cfRule type="containsText" dxfId="23" priority="4" operator="containsText" text="逾期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2.220000267028809" hidden="0" customWidth="1"/>
    <x:col min="3" max="3" width="17.219999313354492" hidden="0" customWidth="1"/>
    <x:col min="4" max="4" width="20.559999465942383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7.21999979019165" hidden="0" customWidth="1"/>
    <x:col min="9" max="9" width="13.329999923706055" hidden="0" customWidth="1"/>
    <x:col min="10" max="10" width="12.220000267028809" hidden="0" customWidth="1"/>
    <x:col min="11" max="11" width="11.109999656677246" hidden="0" customWidth="1"/>
    <x:col min="12" max="12" width="23.329999923706055" hidden="0" customWidth="1"/>
  </x:cols>
  <x:sheetData>
    <x:row r="1" ht="32" customHeight="1">
      <x:c r="A1" s="3" t="str">
        <x:v>Contract／Payment Milestone</x:v>
      </x:c>
    </x:row>
    <x:row r="2" ht="25" customHeight="1">
      <x:c r="A2" s="7" t="str">
        <x:v>真實請款文件匿名化重建；金額與對象遮蔽，保留付款節點、稅額、附件與簽核邏輯。</x:v>
      </x:c>
    </x:row>
    <x:row r="4" ht="25" customHeight="1">
      <x:c r="A4" s="16" t="str">
        <x:v>Package</x:v>
      </x:c>
      <x:c r="B4" s="17" t="str">
        <x:v>Milestone</x:v>
      </x:c>
      <x:c r="C4" s="17" t="str">
        <x:v>Contract condition</x:v>
      </x:c>
      <x:c r="D4" s="17" t="str">
        <x:v>Evidence required</x:v>
      </x:c>
      <x:c r="E4" s="17" t="str">
        <x:v>Claim date</x:v>
      </x:c>
      <x:c r="F4" s="17" t="str">
        <x:v>Payment date</x:v>
      </x:c>
      <x:c r="G4" s="17" t="str">
        <x:v>Amount</x:v>
      </x:c>
      <x:c r="H4" s="17" t="str">
        <x:v>Tax</x:v>
      </x:c>
      <x:c r="I4" s="17" t="str">
        <x:v>Retention／Deduction</x:v>
      </x:c>
      <x:c r="J4" s="17" t="str">
        <x:v>Document status</x:v>
      </x:c>
      <x:c r="K4" s="17" t="str">
        <x:v>Approval status</x:v>
      </x:c>
      <x:c r="L4" s="18" t="str">
        <x:v>Exception</x:v>
      </x:c>
    </x:row>
    <x:row r="5" ht="24" customHeight="1">
      <x:c r="A5" s="38" t="str">
        <x:v>PKG-03</x:v>
      </x:c>
      <x:c r="B5" s="39" t="str">
        <x:v>2026/03 進度款</x:v>
      </x:c>
      <x:c r="C5" s="39" t="str">
        <x:v>依實際完成進度與合約條件</x:v>
      </x:c>
      <x:c r="D5" s="39" t="str">
        <x:v>進度表、出工、照片、請款單、發票</x:v>
      </x:c>
      <x:c r="E5" s="95" t="n">
        <x:v>46112</x:v>
      </x:c>
      <x:c r="F5" s="95" t="n">
        <x:v>46142</x:v>
      </x:c>
      <x:c r="G5" s="39" t="str">
        <x:v>REDACTED</x:v>
      </x:c>
      <x:c r="H5" s="39" t="str">
        <x:v>5%</x:v>
      </x:c>
      <x:c r="I5" s="39" t="str">
        <x:v>依合約檢核</x:v>
      </x:c>
      <x:c r="J5" s="39" t="str">
        <x:v>有原始文件</x:v>
      </x:c>
      <x:c r="K5" s="39" t="str">
        <x:v>已走簽核</x:v>
      </x:c>
      <x:c r="L5" s="40" t="str">
        <x:v>付款對象／帳戶／金額已去識別</x:v>
      </x:c>
    </x:row>
    <x:row r="6" ht="24" customHeight="1">
      <x:c r="A6" s="41" t="str">
        <x:v>PKG-03</x:v>
      </x:c>
      <x:c r="B6" s="42" t="str">
        <x:v>後續進度款</x:v>
      </x:c>
      <x:c r="C6" s="104" t="str">
        <x:v>待本人補入合約節點</x:v>
      </x:c>
      <x:c r="D6" s="104" t="str">
        <x:v>待本人補入</x:v>
      </x:c>
      <x:c r="E6" s="134"/>
      <x:c r="F6" s="134"/>
      <x:c r="G6" s="104" t="str">
        <x:v>REDACTED</x:v>
      </x:c>
      <x:c r="H6" s="104" t="str">
        <x:v>待補</x:v>
      </x:c>
      <x:c r="I6" s="104" t="str">
        <x:v>待補</x:v>
      </x:c>
      <x:c r="J6" s="104" t="str">
        <x:v>待補</x:v>
      </x:c>
      <x:c r="K6" s="104" t="str">
        <x:v>待補</x:v>
      </x:c>
      <x:c r="L6" s="43" t="str">
        <x:v>不以假資料補齊</x:v>
      </x:c>
    </x:row>
    <x:row r="7" ht="24" customHeight="1">
      <x:c r="A7" s="44" t="str">
        <x:v>PKG-03</x:v>
      </x:c>
      <x:c r="B7" s="45" t="str">
        <x:v>尾款／保固</x:v>
      </x:c>
      <x:c r="C7" s="105" t="str">
        <x:v>待本人補入合約節點</x:v>
      </x:c>
      <x:c r="D7" s="105" t="str">
        <x:v>驗收、缺失關閉、移交、保固文件</x:v>
      </x:c>
      <x:c r="E7" s="135"/>
      <x:c r="F7" s="135"/>
      <x:c r="G7" s="105" t="str">
        <x:v>REDACTED</x:v>
      </x:c>
      <x:c r="H7" s="105" t="str">
        <x:v>待補</x:v>
      </x:c>
      <x:c r="I7" s="105" t="str">
        <x:v>保留款／扣回待補</x:v>
      </x:c>
      <x:c r="J7" s="105" t="str">
        <x:v>待補</x:v>
      </x:c>
      <x:c r="K7" s="105" t="str">
        <x:v>待補</x:v>
      </x:c>
      <x:c r="L7" s="46" t="str">
        <x:v>正式條件未取得</x:v>
      </x:c>
    </x:row>
    <x:row r="9" ht="24" customHeight="1">
      <x:c r="A9" s="68" t="str">
        <x:v>Payment Gate／不符合即退補</x:v>
      </x:c>
      <x:c r="B9" s="68" t="str">
        <x:v>Payment Gate／不符合即退補</x:v>
      </x:c>
      <x:c r="C9" s="68" t="str">
        <x:v>Payment Gate／不符合即退補</x:v>
      </x:c>
      <x:c r="D9" s="68" t="str">
        <x:v>Payment Gate／不符合即退補</x:v>
      </x:c>
      <x:c r="E9" s="68" t="str">
        <x:v>Payment Gate／不符合即退補</x:v>
      </x:c>
      <x:c r="F9" s="68" t="str">
        <x:v>Payment Gate／不符合即退補</x:v>
      </x:c>
      <x:c r="G9" s="68" t="str">
        <x:v>Payment Gate／不符合即退補</x:v>
      </x:c>
      <x:c r="H9" s="68" t="str">
        <x:v>Payment Gate／不符合即退補</x:v>
      </x:c>
      <x:c r="I9" s="68" t="str">
        <x:v>Payment Gate／不符合即退補</x:v>
      </x:c>
      <x:c r="J9" s="68" t="str">
        <x:v>Payment Gate／不符合即退補</x:v>
      </x:c>
      <x:c r="K9" s="68" t="str">
        <x:v>Payment Gate／不符合即退補</x:v>
      </x:c>
      <x:c r="L9" s="68" t="str">
        <x:v>Payment Gate／不符合即退補</x:v>
      </x:c>
    </x:row>
    <x:row r="10" ht="25" customHeight="1">
      <x:c r="A10" s="16" t="str">
        <x:v>Gate</x:v>
      </x:c>
      <x:c r="B10" s="17" t="str">
        <x:v>Contract</x:v>
      </x:c>
      <x:c r="C10" s="17" t="str">
        <x:v>Physical progress</x:v>
      </x:c>
      <x:c r="D10" s="17" t="str">
        <x:v>Quantity／unit</x:v>
      </x:c>
      <x:c r="E10" s="17" t="str">
        <x:v>Tax／invoice</x:v>
      </x:c>
      <x:c r="F10" s="17" t="str">
        <x:v>Advance recovery</x:v>
      </x:c>
      <x:c r="G10" s="17" t="str">
        <x:v>Retention</x:v>
      </x:c>
      <x:c r="H10" s="17" t="str">
        <x:v>Photo／log</x:v>
      </x:c>
      <x:c r="I10" s="17" t="str">
        <x:v>Approval</x:v>
      </x:c>
      <x:c r="J10" s="17" t="str">
        <x:v>Result</x:v>
      </x:c>
      <x:c r="K10" s="17" t="str">
        <x:v>Owner</x:v>
      </x:c>
      <x:c r="L10" s="18" t="str">
        <x:v>Remark</x:v>
      </x:c>
    </x:row>
    <x:row r="11" ht="24" customHeight="1">
      <x:c r="A11" s="38" t="str">
        <x:v>G1 文件完整</x:v>
      </x:c>
      <x:c r="B11" s="39" t="str">
        <x:v>✓</x:v>
      </x:c>
      <x:c r="C11" s="39" t="str">
        <x:v>✓</x:v>
      </x:c>
      <x:c r="D11" s="39" t="str">
        <x:v>✓</x:v>
      </x:c>
      <x:c r="E11" s="39" t="str">
        <x:v>✓</x:v>
      </x:c>
      <x:c r="F11" s="39" t="str">
        <x:v>待依合約</x:v>
      </x:c>
      <x:c r="G11" s="39" t="str">
        <x:v>待依合約</x:v>
      </x:c>
      <x:c r="H11" s="39" t="str">
        <x:v>✓</x:v>
      </x:c>
      <x:c r="I11" s="39" t="str">
        <x:v>✓</x:v>
      </x:c>
      <x:c r="J11" s="39" t="str">
        <x:v>可進下一關</x:v>
      </x:c>
      <x:c r="K11" s="39" t="str">
        <x:v>承辦／主管</x:v>
      </x:c>
      <x:c r="L11" s="40" t="str">
        <x:v>匿名化真實請款文件</x:v>
      </x:c>
    </x:row>
    <x:row r="12" ht="24" customHeight="1">
      <x:c r="A12" s="41" t="str">
        <x:v>G2 累計勾稽</x:v>
      </x:c>
      <x:c r="B12" s="42" t="str">
        <x:v>✓</x:v>
      </x:c>
      <x:c r="C12" s="42" t="str">
        <x:v>✓</x:v>
      </x:c>
      <x:c r="D12" s="42" t="str">
        <x:v>✓</x:v>
      </x:c>
      <x:c r="E12" s="42" t="str">
        <x:v>✓</x:v>
      </x:c>
      <x:c r="F12" s="42" t="str">
        <x:v>待依合約</x:v>
      </x:c>
      <x:c r="G12" s="42" t="str">
        <x:v>待依合約</x:v>
      </x:c>
      <x:c r="H12" s="42" t="str">
        <x:v>✓</x:v>
      </x:c>
      <x:c r="I12" s="42" t="str">
        <x:v>✓</x:v>
      </x:c>
      <x:c r="J12" s="42" t="str">
        <x:v>需保留計算軌跡</x:v>
      </x:c>
      <x:c r="K12" s="42" t="str">
        <x:v>承辦／財務</x:v>
      </x:c>
      <x:c r="L12" s="43" t="str">
        <x:v>前期＋本期＝累計</x:v>
      </x:c>
    </x:row>
    <x:row r="13" ht="24" customHeight="1">
      <x:c r="A13" s="44" t="str">
        <x:v>G3 最終付款</x:v>
      </x:c>
      <x:c r="B13" s="45" t="str">
        <x:v>✓</x:v>
      </x:c>
      <x:c r="C13" s="45" t="str">
        <x:v>驗收／缺失關閉</x:v>
      </x:c>
      <x:c r="D13" s="45" t="str">
        <x:v>✓</x:v>
      </x:c>
      <x:c r="E13" s="45" t="str">
        <x:v>✓</x:v>
      </x:c>
      <x:c r="F13" s="45" t="str">
        <x:v>✓</x:v>
      </x:c>
      <x:c r="G13" s="45" t="str">
        <x:v>✓</x:v>
      </x:c>
      <x:c r="H13" s="45" t="str">
        <x:v>✓</x:v>
      </x:c>
      <x:c r="I13" s="45" t="str">
        <x:v>簽認</x:v>
      </x:c>
      <x:c r="J13" s="45" t="str">
        <x:v>待補真實文件</x:v>
      </x:c>
      <x:c r="K13" s="45" t="str">
        <x:v>PM／財務</x:v>
      </x:c>
      <x:c r="L13" s="46" t="str">
        <x:v>未取得不宣稱完成</x:v>
      </x:c>
    </x:row>
  </x:sheetData>
  <x:mergeCells>
    <x:mergeCell ref="A1:L1"/>
    <x:mergeCell ref="A2:L2"/>
    <x:mergeCell ref="A9:L9"/>
  </x:mergeCells>
  <x:conditionalFormatting sqref="J5:K7">
    <x:cfRule type="containsText" dxfId="24" priority="1" operator="containsText" text="完成"/>
    <x:cfRule type="containsText" dxfId="25" priority="2" operator="containsText" text="進行"/>
    <x:cfRule type="containsText" dxfId="26" priority="3" operator="containsText" text="待補"/>
    <x:cfRule type="containsText" dxfId="27" priority="4" operator="containsText" text="逾期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0.5600004196167" hidden="0" customWidth="1"/>
    <x:col min="3" max="3" width="16.110000610351562" hidden="0" customWidth="1"/>
    <x:col min="4" max="4" width="25.559999465942383" hidden="0" customWidth="1"/>
    <x:col min="5" max="5" width="21.110000610351562" hidden="0" customWidth="1"/>
    <x:col min="6" max="6" width="10" hidden="0" customWidth="1"/>
    <x:col min="7" max="7" width="16.670000076293945" hidden="0" customWidth="1"/>
    <x:col min="8" max="8" width="12.220000267028809" hidden="0" customWidth="1"/>
    <x:col min="9" max="9" width="10" hidden="0" customWidth="1"/>
    <x:col min="10" max="10" width="17.780000686645508" hidden="0" customWidth="1"/>
    <x:col min="11" max="11" width="10" hidden="0" customWidth="1"/>
    <x:col min="12" max="12" width="10" hidden="0" customWidth="1"/>
  </x:cols>
  <x:sheetData>
    <x:row r="1" ht="32" customHeight="1">
      <x:c r="A1" s="3" t="str">
        <x:v>Acceptance／Progress Claim Checklist</x:v>
      </x:c>
    </x:row>
    <x:row r="2" ht="25" customHeight="1">
      <x:c r="A2" s="7" t="str">
        <x:v>把實體完成、數量、商務條件與附件放在同一個 Evidence Gate。</x:v>
      </x:c>
    </x:row>
    <x:row r="4" ht="25" customHeight="1">
      <x:c r="A4" s="16" t="str">
        <x:v>Check ID</x:v>
      </x:c>
      <x:c r="B4" s="17" t="str">
        <x:v>檢核層級</x:v>
      </x:c>
      <x:c r="C4" s="17" t="str">
        <x:v>檢核項目</x:v>
      </x:c>
      <x:c r="D4" s="17" t="str">
        <x:v>判斷標準</x:v>
      </x:c>
      <x:c r="E4" s="17" t="str">
        <x:v>Evidence</x:v>
      </x:c>
      <x:c r="F4" s="17" t="str">
        <x:v>結果</x:v>
      </x:c>
      <x:c r="G4" s="17" t="str">
        <x:v>缺件／差異</x:v>
      </x:c>
      <x:c r="H4" s="17" t="str">
        <x:v>Owner</x:v>
      </x:c>
      <x:c r="I4" s="17" t="str">
        <x:v>期限</x:v>
      </x:c>
      <x:c r="J4" s="17" t="str">
        <x:v>關閉證據</x:v>
      </x:c>
      <x:c r="K4" s="17" t="str">
        <x:v>複核者</x:v>
      </x:c>
      <x:c r="L4" s="18" t="str">
        <x:v>狀態</x:v>
      </x:c>
    </x:row>
    <x:row r="5" ht="24" customHeight="1">
      <x:c r="A5" s="38" t="str">
        <x:v>C-001</x:v>
      </x:c>
      <x:c r="B5" s="39" t="str">
        <x:v>實體進度</x:v>
      </x:c>
      <x:c r="C5" s="39" t="str">
        <x:v>已完成工項與區域</x:v>
      </x:c>
      <x:c r="D5" s="39" t="str">
        <x:v>現場實際完成可被照片／紀錄對應</x:v>
      </x:c>
      <x:c r="E5" s="39" t="str">
        <x:v>出工、照片、區域進度</x:v>
      </x:c>
      <x:c r="F5" s="39" t="str">
        <x:v>待補</x:v>
      </x:c>
      <x:c r="G5" s="39" t="str"/>
      <x:c r="H5" s="39" t="str">
        <x:v>PM／現場</x:v>
      </x:c>
      <x:c r="I5" s="95"/>
      <x:c r="J5" s="39" t="str"/>
      <x:c r="K5" s="39" t="str">
        <x:v>主管</x:v>
      </x:c>
      <x:c r="L5" s="40" t="str">
        <x:v>待補</x:v>
      </x:c>
    </x:row>
    <x:row r="6" ht="24" customHeight="1">
      <x:c r="A6" s="41" t="str">
        <x:v>C-002</x:v>
      </x:c>
      <x:c r="B6" s="42" t="str">
        <x:v>數量／估驗</x:v>
      </x:c>
      <x:c r="C6" s="42" t="str">
        <x:v>本期與累計數量</x:v>
      </x:c>
      <x:c r="D6" s="42" t="str">
        <x:v>前期＋本期＝累計；不得重複</x:v>
      </x:c>
      <x:c r="E6" s="42" t="str">
        <x:v>估驗表、計價依據</x:v>
      </x:c>
      <x:c r="F6" s="42" t="str">
        <x:v>待補</x:v>
      </x:c>
      <x:c r="G6" s="42" t="str"/>
      <x:c r="H6" s="42" t="str">
        <x:v>承辦／工程</x:v>
      </x:c>
      <x:c r="I6" s="96"/>
      <x:c r="J6" s="42" t="str"/>
      <x:c r="K6" s="42" t="str">
        <x:v>財務</x:v>
      </x:c>
      <x:c r="L6" s="43" t="str">
        <x:v>待補</x:v>
      </x:c>
    </x:row>
    <x:row r="7" ht="24" customHeight="1">
      <x:c r="A7" s="41" t="str">
        <x:v>C-003</x:v>
      </x:c>
      <x:c r="B7" s="42" t="str">
        <x:v>品質／驗收</x:v>
      </x:c>
      <x:c r="C7" s="42" t="str">
        <x:v>缺失與關閉條件</x:v>
      </x:c>
      <x:c r="D7" s="42" t="str">
        <x:v>每項缺失有 Owner、期限、複查證據</x:v>
      </x:c>
      <x:c r="E7" s="42" t="str">
        <x:v>Punch List、照片索引</x:v>
      </x:c>
      <x:c r="F7" s="42" t="str">
        <x:v>待補</x:v>
      </x:c>
      <x:c r="G7" s="42" t="str"/>
      <x:c r="H7" s="42" t="str">
        <x:v>工程／品質</x:v>
      </x:c>
      <x:c r="I7" s="96"/>
      <x:c r="J7" s="42" t="str"/>
      <x:c r="K7" s="42" t="str">
        <x:v>PM</x:v>
      </x:c>
      <x:c r="L7" s="43" t="str">
        <x:v>待補</x:v>
      </x:c>
    </x:row>
    <x:row r="8" ht="24" customHeight="1">
      <x:c r="A8" s="41" t="str">
        <x:v>C-004</x:v>
      </x:c>
      <x:c r="B8" s="42" t="str">
        <x:v>商務／付款</x:v>
      </x:c>
      <x:c r="C8" s="42" t="str">
        <x:v>稅額、發票與付款節點</x:v>
      </x:c>
      <x:c r="D8" s="42" t="str">
        <x:v>符合合約、扣回、保留與付款條件</x:v>
      </x:c>
      <x:c r="E8" s="42" t="str">
        <x:v>合約、發票、付款條件</x:v>
      </x:c>
      <x:c r="F8" s="42" t="str">
        <x:v>有真實文件</x:v>
      </x:c>
      <x:c r="G8" s="42" t="str">
        <x:v>敏感資料已遮蔽</x:v>
      </x:c>
      <x:c r="H8" s="42" t="str">
        <x:v>承辦／財務</x:v>
      </x:c>
      <x:c r="I8" s="96" t="n">
        <x:v>46142</x:v>
      </x:c>
      <x:c r="J8" s="42" t="str">
        <x:v>簽核／付款紀錄</x:v>
      </x:c>
      <x:c r="K8" s="42" t="str">
        <x:v>主管</x:v>
      </x:c>
      <x:c r="L8" s="43" t="str">
        <x:v>已記錄</x:v>
      </x:c>
    </x:row>
    <x:row r="9" ht="24" customHeight="1">
      <x:c r="A9" s="41" t="str">
        <x:v>C-005</x:v>
      </x:c>
      <x:c r="B9" s="42" t="str">
        <x:v>附件完整</x:v>
      </x:c>
      <x:c r="C9" s="42" t="str">
        <x:v>出工、機具、租賃與證明</x:v>
      </x:c>
      <x:c r="D9" s="42" t="str">
        <x:v>缺件退補，不以口頭說明替代</x:v>
      </x:c>
      <x:c r="E9" s="42" t="str">
        <x:v>附件索引／退補紀錄</x:v>
      </x:c>
      <x:c r="F9" s="42" t="str">
        <x:v>待補</x:v>
      </x:c>
      <x:c r="G9" s="42" t="str"/>
      <x:c r="H9" s="42" t="str">
        <x:v>承辦</x:v>
      </x:c>
      <x:c r="I9" s="96"/>
      <x:c r="J9" s="42" t="str"/>
      <x:c r="K9" s="42" t="str">
        <x:v>主管</x:v>
      </x:c>
      <x:c r="L9" s="43" t="str">
        <x:v>待補</x:v>
      </x:c>
    </x:row>
    <x:row r="10" ht="24" customHeight="1">
      <x:c r="A10" s="44" t="str">
        <x:v>C-006</x:v>
      </x:c>
      <x:c r="B10" s="45" t="str">
        <x:v>結案／移交</x:v>
      </x:c>
      <x:c r="C10" s="45" t="str">
        <x:v>文件、保固與責任移交</x:v>
      </x:c>
      <x:c r="D10" s="45" t="str">
        <x:v>完成定義、簽認與後續責任明確</x:v>
      </x:c>
      <x:c r="E10" s="45" t="str">
        <x:v>驗收、移交、保固文件</x:v>
      </x:c>
      <x:c r="F10" s="45" t="str">
        <x:v>待補</x:v>
      </x:c>
      <x:c r="G10" s="45" t="str"/>
      <x:c r="H10" s="45" t="str">
        <x:v>PM</x:v>
      </x:c>
      <x:c r="I10" s="97"/>
      <x:c r="J10" s="45" t="str"/>
      <x:c r="K10" s="45" t="str">
        <x:v>管理層</x:v>
      </x:c>
      <x:c r="L10" s="46" t="str">
        <x:v>待補</x:v>
      </x:c>
    </x:row>
    <x:row r="12" ht="34" customHeight="1">
      <x:c r="A12" s="89" t="str">
        <x:v>此頁可直接作為作品集附件，也可在面試時說明：付款不是行政收尾，而是最後一道履約控制；沒有實體完成、累計勾稽與完整附件，數字不應往下走。 </x:v>
      </x:c>
      <x:c r="B12" s="90" t="str">
        <x:v>此頁可直接作為作品集附件，也可在面試時說明：付款不是行政收尾，而是最後一道履約控制；沒有實體完成、累計勾稽與完整附件，數字不應往下走。 </x:v>
      </x:c>
      <x:c r="C12" s="90" t="str">
        <x:v>此頁可直接作為作品集附件，也可在面試時說明：付款不是行政收尾，而是最後一道履約控制；沒有實體完成、累計勾稽與完整附件，數字不應往下走。 </x:v>
      </x:c>
      <x:c r="D12" s="90" t="str">
        <x:v>此頁可直接作為作品集附件，也可在面試時說明：付款不是行政收尾，而是最後一道履約控制；沒有實體完成、累計勾稽與完整附件，數字不應往下走。 </x:v>
      </x:c>
      <x:c r="E12" s="90" t="str">
        <x:v>此頁可直接作為作品集附件，也可在面試時說明：付款不是行政收尾，而是最後一道履約控制；沒有實體完成、累計勾稽與完整附件，數字不應往下走。 </x:v>
      </x:c>
      <x:c r="F12" s="90" t="str">
        <x:v>此頁可直接作為作品集附件，也可在面試時說明：付款不是行政收尾，而是最後一道履約控制；沒有實體完成、累計勾稽與完整附件，數字不應往下走。 </x:v>
      </x:c>
      <x:c r="G12" s="90" t="str">
        <x:v>此頁可直接作為作品集附件，也可在面試時說明：付款不是行政收尾，而是最後一道履約控制；沒有實體完成、累計勾稽與完整附件，數字不應往下走。 </x:v>
      </x:c>
      <x:c r="H12" s="90" t="str">
        <x:v>此頁可直接作為作品集附件，也可在面試時說明：付款不是行政收尾，而是最後一道履約控制；沒有實體完成、累計勾稽與完整附件，數字不應往下走。 </x:v>
      </x:c>
      <x:c r="I12" s="90" t="str">
        <x:v>此頁可直接作為作品集附件，也可在面試時說明：付款不是行政收尾，而是最後一道履約控制；沒有實體完成、累計勾稽與完整附件，數字不應往下走。 </x:v>
      </x:c>
      <x:c r="J12" s="90" t="str">
        <x:v>此頁可直接作為作品集附件，也可在面試時說明：付款不是行政收尾，而是最後一道履約控制；沒有實體完成、累計勾稽與完整附件，數字不應往下走。 </x:v>
      </x:c>
      <x:c r="K12" s="90" t="str">
        <x:v>此頁可直接作為作品集附件，也可在面試時說明：付款不是行政收尾，而是最後一道履約控制；沒有實體完成、累計勾稽與完整附件，數字不應往下走。 </x:v>
      </x:c>
      <x:c r="L12" s="91" t="str">
        <x:v>此頁可直接作為作品集附件，也可在面試時說明：付款不是行政收尾，而是最後一道履約控制；沒有實體完成、累計勾稽與完整附件，數字不應往下走。 </x:v>
      </x:c>
    </x:row>
    <x:row r="13" ht="34" customHeight="1">
      <x:c r="A13" s="92" t="str">
        <x:v>此頁可直接作為作品集附件，也可在面試時說明：付款不是行政收尾，而是最後一道履約控制；沒有實體完成、累計勾稽與完整附件，數字不應往下走。 </x:v>
      </x:c>
      <x:c r="B13" s="93" t="str">
        <x:v>此頁可直接作為作品集附件，也可在面試時說明：付款不是行政收尾，而是最後一道履約控制；沒有實體完成、累計勾稽與完整附件，數字不應往下走。 </x:v>
      </x:c>
      <x:c r="C13" s="93" t="str">
        <x:v>此頁可直接作為作品集附件，也可在面試時說明：付款不是行政收尾，而是最後一道履約控制；沒有實體完成、累計勾稽與完整附件，數字不應往下走。 </x:v>
      </x:c>
      <x:c r="D13" s="93" t="str">
        <x:v>此頁可直接作為作品集附件，也可在面試時說明：付款不是行政收尾，而是最後一道履約控制；沒有實體完成、累計勾稽與完整附件，數字不應往下走。 </x:v>
      </x:c>
      <x:c r="E13" s="93" t="str">
        <x:v>此頁可直接作為作品集附件，也可在面試時說明：付款不是行政收尾，而是最後一道履約控制；沒有實體完成、累計勾稽與完整附件，數字不應往下走。 </x:v>
      </x:c>
      <x:c r="F13" s="93" t="str">
        <x:v>此頁可直接作為作品集附件，也可在面試時說明：付款不是行政收尾，而是最後一道履約控制；沒有實體完成、累計勾稽與完整附件，數字不應往下走。 </x:v>
      </x:c>
      <x:c r="G13" s="93" t="str">
        <x:v>此頁可直接作為作品集附件，也可在面試時說明：付款不是行政收尾，而是最後一道履約控制；沒有實體完成、累計勾稽與完整附件，數字不應往下走。 </x:v>
      </x:c>
      <x:c r="H13" s="93" t="str">
        <x:v>此頁可直接作為作品集附件，也可在面試時說明：付款不是行政收尾，而是最後一道履約控制；沒有實體完成、累計勾稽與完整附件，數字不應往下走。 </x:v>
      </x:c>
      <x:c r="I13" s="93" t="str">
        <x:v>此頁可直接作為作品集附件，也可在面試時說明：付款不是行政收尾，而是最後一道履約控制；沒有實體完成、累計勾稽與完整附件，數字不應往下走。 </x:v>
      </x:c>
      <x:c r="J13" s="93" t="str">
        <x:v>此頁可直接作為作品集附件，也可在面試時說明：付款不是行政收尾，而是最後一道履約控制；沒有實體完成、累計勾稽與完整附件，數字不應往下走。 </x:v>
      </x:c>
      <x:c r="K13" s="93" t="str">
        <x:v>此頁可直接作為作品集附件，也可在面試時說明：付款不是行政收尾，而是最後一道履約控制；沒有實體完成、累計勾稽與完整附件，數字不應往下走。 </x:v>
      </x:c>
      <x:c r="L13" s="94" t="str">
        <x:v>此頁可直接作為作品集附件，也可在面試時說明：付款不是行政收尾，而是最後一道履約控制；沒有實體完成、累計勾稽與完整附件，數字不應往下走。 </x:v>
      </x:c>
    </x:row>
  </x:sheetData>
  <x:mergeCells>
    <x:mergeCell ref="A1:L1"/>
    <x:mergeCell ref="A2:L2"/>
    <x:mergeCell ref="A12:L13"/>
  </x:mergeCells>
  <x:conditionalFormatting sqref="F5:F10">
    <x:cfRule type="containsText" dxfId="28" priority="1" operator="containsText" text="完成"/>
    <x:cfRule type="containsText" dxfId="29" priority="2" operator="containsText" text="進行"/>
    <x:cfRule type="containsText" dxfId="30" priority="3" operator="containsText" text="待補"/>
    <x:cfRule type="containsText" dxfId="31" priority="4" operator="containsText" text="逾期"/>
  </x:conditionalFormatting>
  <x:conditionalFormatting sqref="L5:L10">
    <x:cfRule type="containsText" dxfId="32" priority="5" operator="containsText" text="完成"/>
    <x:cfRule type="containsText" dxfId="33" priority="6" operator="containsText" text="進行"/>
    <x:cfRule type="containsText" dxfId="34" priority="7" operator="containsText" text="待補"/>
    <x:cfRule type="containsText" dxfId="35" priority="8" operator="containsText" text="逾期"/>
  </x:conditionalFormatting>
  <x:dataValidations count="1">
    <x:dataValidation type="list" sqref="F5:F10">
      <x:formula1>"符合,不符合,待補,有真實文件"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16.670000076293945" hidden="0" customWidth="1"/>
    <x:col min="3" max="3" width="14.4399995803833" hidden="0" customWidth="1"/>
    <x:col min="4" max="4" width="19.440000534057617" hidden="0" customWidth="1"/>
    <x:col min="5" max="5" width="18.329999923706055" hidden="0" customWidth="1"/>
    <x:col min="6" max="6" width="18.889999389648438" hidden="0" customWidth="1"/>
    <x:col min="7" max="7" width="10" hidden="0" customWidth="1"/>
    <x:col min="8" max="8" width="22.219999313354492" hidden="0" customWidth="1"/>
    <x:col min="9" max="9" width="14.4399995803833" hidden="0" customWidth="1"/>
    <x:col min="10" max="10" width="10" hidden="0" customWidth="1"/>
    <x:col min="11" max="11" width="23.329999923706055" hidden="0" customWidth="1"/>
  </x:cols>
  <x:sheetData>
    <x:row r="1" ht="32" customHeight="1">
      <x:c r="A1" s="3" t="str">
        <x:v>Data Model／Tool Application Boundary</x:v>
      </x:c>
    </x:row>
    <x:row r="2" ht="25" customHeight="1">
      <x:c r="A2" s="7" t="str">
        <x:v>同一套管理邏輯可落在不同工具；工具是手段，不是經歷主角。</x:v>
      </x:c>
    </x:row>
    <x:row r="4" ht="25" customHeight="1">
      <x:c r="A4" s="16" t="str">
        <x:v>管理問題</x:v>
      </x:c>
      <x:c r="B4" s="17" t="str">
        <x:v>Input</x:v>
      </x:c>
      <x:c r="C4" s="17" t="str">
        <x:v>Transformation／Rule</x:v>
      </x:c>
      <x:c r="D4" s="17" t="str">
        <x:v>Output</x:v>
      </x:c>
      <x:c r="E4" s="17" t="str">
        <x:v>Decision</x:v>
      </x:c>
      <x:c r="F4" s="17" t="str">
        <x:v>工作中實際使用</x:v>
      </x:c>
      <x:c r="G4" s="17" t="str">
        <x:v>作品集實作／展示</x:v>
      </x:c>
      <x:c r="H4" s="17" t="str">
        <x:v>不宣稱事項</x:v>
      </x:c>
      <x:c r="I4" s="17" t="str">
        <x:v>Evidence</x:v>
      </x:c>
      <x:c r="J4" s="17" t="str">
        <x:v>更新頻率</x:v>
      </x:c>
      <x:c r="K4" s="18" t="str">
        <x:v>Owner</x:v>
      </x:c>
    </x:row>
    <x:row r="5" ht="24" customHeight="1">
      <x:c r="A5" s="38" t="str">
        <x:v>多案進度與依賴分散</x:v>
      </x:c>
      <x:c r="B5" s="39" t="str">
        <x:v>工作包、日期、Owner、前置</x:v>
      </x:c>
      <x:c r="C5" s="39" t="str">
        <x:v>WBS、baseline／actual、3-week look-ahead</x:v>
      </x:c>
      <x:c r="D5" s="39" t="str">
        <x:v>Gantt、Milestone、Exception list</x:v>
      </x:c>
      <x:c r="E5" s="39" t="str">
        <x:v>資源與順序調整</x:v>
      </x:c>
      <x:c r="F5" s="39" t="str">
        <x:v>Excel、Google Sheets、ClickUp、Notion</x:v>
      </x:c>
      <x:c r="G5" s="39" t="str">
        <x:v>Microsoft Project 排程展示；Asana／Trello 任務邏輯展示</x:v>
      </x:c>
      <x:c r="H5" s="39" t="str">
        <x:v>不宣稱所有工具均曾正式上線</x:v>
      </x:c>
      <x:c r="I5" s="39" t="str">
        <x:v>02、03、04</x:v>
      </x:c>
      <x:c r="J5" s="39" t="str">
        <x:v>每週／異常即時</x:v>
      </x:c>
      <x:c r="K5" s="40" t="str">
        <x:v>PM</x:v>
      </x:c>
    </x:row>
    <x:row r="6" ht="24" customHeight="1">
      <x:c r="A6" s="41" t="str">
        <x:v>RFQ 與供應商差異不可比</x:v>
      </x:c>
      <x:c r="B6" s="42" t="str">
        <x:v>規格、範圍、價格、交期、條件</x:v>
      </x:c>
      <x:c r="C6" s="42" t="str">
        <x:v>Scope alignment、權重、Evidence gate</x:v>
      </x:c>
      <x:c r="D6" s="42" t="str">
        <x:v>RFQ matrix、supplier decision</x:v>
      </x:c>
      <x:c r="E6" s="42" t="str">
        <x:v>議價、選商、替代來源</x:v>
      </x:c>
      <x:c r="F6" s="42" t="str">
        <x:v>Excel、Google Sheets、文件與會議紀錄</x:v>
      </x:c>
      <x:c r="G6" s="42" t="str">
        <x:v>Power BI／互動評選視覺</x:v>
      </x:c>
      <x:c r="H6" s="42" t="str">
        <x:v>不宣稱電子零件 AVL／SAP 經驗</x:v>
      </x:c>
      <x:c r="I6" s="42" t="str">
        <x:v>05、06、07</x:v>
      </x:c>
      <x:c r="J6" s="42" t="str">
        <x:v>RFQ／月度</x:v>
      </x:c>
      <x:c r="K6" s="43" t="str">
        <x:v>採購</x:v>
      </x:c>
    </x:row>
    <x:row r="7" ht="24" customHeight="1">
      <x:c r="A7" s="44" t="str">
        <x:v>現場、成本與請款資料斷裂</x:v>
      </x:c>
      <x:c r="B7" s="45" t="str">
        <x:v>出工、加班、機具、估驗、附件</x:v>
      </x:c>
      <x:c r="C7" s="45" t="str">
        <x:v>去重、分類、勾稽、來源索引</x:v>
      </x:c>
      <x:c r="D7" s="45" t="str">
        <x:v>Dashboard、Claim checklist</x:v>
      </x:c>
      <x:c r="E7" s="45" t="str">
        <x:v>成本例外、付款 Gate</x:v>
      </x:c>
      <x:c r="F7" s="45" t="str">
        <x:v>Excel、Google Sheets、電子簽核流程</x:v>
      </x:c>
      <x:c r="G7" s="45" t="str">
        <x:v>Power BI Dashboard 規劃與展示</x:v>
      </x:c>
      <x:c r="H7" s="45" t="str">
        <x:v>不宣稱 Power BI 在職正式導入</x:v>
      </x:c>
      <x:c r="I7" s="45" t="str">
        <x:v>01、09、10</x:v>
      </x:c>
      <x:c r="J7" s="45" t="str">
        <x:v>週／月</x:v>
      </x:c>
      <x:c r="K7" s="46" t="str">
        <x:v>PM／財務</x:v>
      </x:c>
    </x:row>
    <x:row r="9" ht="24" customHeight="1">
      <x:c r="A9" s="68" t="str">
        <x:v>Power BI 展示版資料模型</x:v>
      </x:c>
      <x:c r="B9" s="68" t="str">
        <x:v>Power BI 展示版資料模型</x:v>
      </x:c>
      <x:c r="C9" s="68" t="str">
        <x:v>Power BI 展示版資料模型</x:v>
      </x:c>
      <x:c r="D9" s="68" t="str">
        <x:v>Power BI 展示版資料模型</x:v>
      </x:c>
      <x:c r="E9" s="68" t="str">
        <x:v>Power BI 展示版資料模型</x:v>
      </x:c>
      <x:c r="F9" s="68" t="str">
        <x:v>Power BI 展示版資料模型</x:v>
      </x:c>
      <x:c r="G9" s="68" t="str">
        <x:v>Power BI 展示版資料模型</x:v>
      </x:c>
      <x:c r="H9" s="68" t="str">
        <x:v>Power BI 展示版資料模型</x:v>
      </x:c>
      <x:c r="I9" s="68" t="str">
        <x:v>Power BI 展示版資料模型</x:v>
      </x:c>
      <x:c r="J9" s="68" t="str">
        <x:v>Power BI 展示版資料模型</x:v>
      </x:c>
      <x:c r="K9" s="68" t="str">
        <x:v>Power BI 展示版資料模型</x:v>
      </x:c>
    </x:row>
    <x:row r="10" ht="25" customHeight="1">
      <x:c r="A10" s="16" t="str">
        <x:v>Table</x:v>
      </x:c>
      <x:c r="B10" s="17" t="str">
        <x:v>Grain</x:v>
      </x:c>
      <x:c r="C10" s="17" t="str">
        <x:v>Key</x:v>
      </x:c>
      <x:c r="D10" s="17" t="str">
        <x:v>Measures</x:v>
      </x:c>
      <x:c r="E10" s="17" t="str">
        <x:v>Dimensions</x:v>
      </x:c>
      <x:c r="F10" s="17" t="str">
        <x:v>Source</x:v>
      </x:c>
      <x:c r="G10" s="17" t="str">
        <x:v>Refresh</x:v>
      </x:c>
      <x:c r="H10" s="17" t="str">
        <x:v>Quality rule</x:v>
      </x:c>
      <x:c r="I10" s="17" t="str">
        <x:v>Dashboard use</x:v>
      </x:c>
      <x:c r="J10" s="17" t="str">
        <x:v>Status</x:v>
      </x:c>
      <x:c r="K10" s="18" t="str">
        <x:v>Note</x:v>
      </x:c>
    </x:row>
    <x:row r="11" ht="24" customHeight="1">
      <x:c r="A11" s="38" t="str">
        <x:v>FactProgress</x:v>
      </x:c>
      <x:c r="B11" s="39" t="str">
        <x:v>日期 × 供應商 × 工項</x:v>
      </x:c>
      <x:c r="C11" s="39" t="str">
        <x:v>Date+Supplier+Work</x:v>
      </x:c>
      <x:c r="D11" s="39" t="str">
        <x:v>Work units／OT hours</x:v>
      </x:c>
      <x:c r="E11" s="39" t="str">
        <x:v>Month／Area／Work package</x:v>
      </x:c>
      <x:c r="F11" s="39" t="str">
        <x:v>匿名化出工明細</x:v>
      </x:c>
      <x:c r="G11" s="39" t="str">
        <x:v>Monthly</x:v>
      </x:c>
      <x:c r="H11" s="39" t="str">
        <x:v>來源工作表＋原始列可回查</x:v>
      </x:c>
      <x:c r="I11" s="39" t="str">
        <x:v>Progress／Supplier</x:v>
      </x:c>
      <x:c r="J11" s="39" t="str">
        <x:v>已具資料</x:v>
      </x:c>
      <x:c r="K11" s="40" t="str">
        <x:v>260+ 筆</x:v>
      </x:c>
    </x:row>
    <x:row r="12" ht="24" customHeight="1">
      <x:c r="A12" s="41" t="str">
        <x:v>FactProcurement</x:v>
      </x:c>
      <x:c r="B12" s="42" t="str">
        <x:v>採購包 × 供應商</x:v>
      </x:c>
      <x:c r="C12" s="42" t="str">
        <x:v>Package+Supplier</x:v>
      </x:c>
      <x:c r="D12" s="42" t="str">
        <x:v>Quote／lead time／score</x:v>
      </x:c>
      <x:c r="E12" s="42" t="str">
        <x:v>Category／status／risk</x:v>
      </x:c>
      <x:c r="F12" s="42" t="str">
        <x:v>待補匿名化 RFQ</x:v>
      </x:c>
      <x:c r="G12" s="42" t="str">
        <x:v>Event</x:v>
      </x:c>
      <x:c r="H12" s="42" t="str">
        <x:v>未補不得選商</x:v>
      </x:c>
      <x:c r="I12" s="42" t="str">
        <x:v>Procurement</x:v>
      </x:c>
      <x:c r="J12" s="42" t="str">
        <x:v>待補</x:v>
      </x:c>
      <x:c r="K12" s="43" t="str">
        <x:v>不以示意價格替代</x:v>
      </x:c>
    </x:row>
    <x:row r="13" ht="24" customHeight="1">
      <x:c r="A13" s="41" t="str">
        <x:v>FactPayment</x:v>
      </x:c>
      <x:c r="B13" s="42" t="str">
        <x:v>請款節點</x:v>
      </x:c>
      <x:c r="C13" s="42" t="str">
        <x:v>Package+Milestone</x:v>
      </x:c>
      <x:c r="D13" s="42" t="str">
        <x:v>Claim／deduction／retention</x:v>
      </x:c>
      <x:c r="E13" s="42" t="str">
        <x:v>Status／owner</x:v>
      </x:c>
      <x:c r="F13" s="42" t="str">
        <x:v>匿名化請款文件</x:v>
      </x:c>
      <x:c r="G13" s="42" t="str">
        <x:v>Monthly</x:v>
      </x:c>
      <x:c r="H13" s="42" t="str">
        <x:v>前期＋本期＝累計</x:v>
      </x:c>
      <x:c r="I13" s="42" t="str">
        <x:v>Contract／Payment</x:v>
      </x:c>
      <x:c r="J13" s="42" t="str">
        <x:v>部分</x:v>
      </x:c>
      <x:c r="K13" s="43" t="str">
        <x:v>金額遮蔽</x:v>
      </x:c>
    </x:row>
    <x:row r="14" ht="24" customHeight="1">
      <x:c r="A14" s="44" t="str">
        <x:v>DimIssue</x:v>
      </x:c>
      <x:c r="B14" s="45" t="str">
        <x:v>Issue／Risk／Action</x:v>
      </x:c>
      <x:c r="C14" s="45" t="str">
        <x:v>ID</x:v>
      </x:c>
      <x:c r="D14" s="45" t="str">
        <x:v>Age／severity／closure</x:v>
      </x:c>
      <x:c r="E14" s="45" t="str">
        <x:v>Type／owner／status</x:v>
      </x:c>
      <x:c r="F14" s="45" t="str">
        <x:v>Issue log</x:v>
      </x:c>
      <x:c r="G14" s="45" t="str">
        <x:v>Weekly</x:v>
      </x:c>
      <x:c r="H14" s="45" t="str">
        <x:v>狀態與證據一致</x:v>
      </x:c>
      <x:c r="I14" s="45" t="str">
        <x:v>Issue／Risk</x:v>
      </x:c>
      <x:c r="J14" s="45" t="str">
        <x:v>部分</x:v>
      </x:c>
      <x:c r="K14" s="46" t="str">
        <x:v>補關閉證據</x:v>
      </x:c>
    </x:row>
  </x:sheetData>
  <x:mergeCells>
    <x:mergeCell ref="A1:K1"/>
    <x:mergeCell ref="A2:K2"/>
    <x:mergeCell ref="A9:K9"/>
  </x:mergeCells>
  <x:conditionalFormatting sqref="J11:J14">
    <x:cfRule type="containsText" dxfId="36" priority="1" operator="containsText" text="完成"/>
    <x:cfRule type="containsText" dxfId="37" priority="2" operator="containsText" text="進行"/>
    <x:cfRule type="containsText" dxfId="38" priority="3" operator="containsText" text="待補"/>
    <x:cfRule type="containsText" dxfId="39" priority="4" operator="containsText" text="逾期"/>
  </x:conditionalFormatting>
  <x:pageMargins left="0.7" right="0.7" top="0.75" bottom="0.75" header="0.3" footer="0.3"/>
</x:worksheet>
</file>